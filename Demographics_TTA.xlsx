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https://lsumail2-my.sharepoint.com/personal/swest19_lsu_edu/Documents/Word Association RT study/"/>
    </mc:Choice>
  </mc:AlternateContent>
  <xr:revisionPtr revIDLastSave="0" documentId="8_{878A063D-C352-4A34-843F-B9729D8027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mographics" sheetId="1" r:id="rId1"/>
    <sheet name="Counterbalanc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  <c r="B4" i="1" a="1"/>
  <c r="B4" i="1" s="1"/>
  <c r="B5" i="1" a="1"/>
  <c r="B5" i="1"/>
  <c r="B6" i="1" a="1"/>
  <c r="B6" i="1"/>
  <c r="B7" i="1" a="1"/>
  <c r="B7" i="1"/>
  <c r="B8" i="1" a="1"/>
  <c r="B8" i="1"/>
  <c r="B9" i="1" a="1"/>
  <c r="B9" i="1"/>
  <c r="B10" i="1" a="1"/>
  <c r="B10" i="1"/>
  <c r="B11" i="1" a="1"/>
  <c r="B11" i="1"/>
  <c r="B12" i="1" a="1"/>
  <c r="B12" i="1"/>
  <c r="B13" i="1" a="1"/>
  <c r="B13" i="1"/>
  <c r="B14" i="1" a="1"/>
  <c r="B14" i="1"/>
  <c r="B15" i="1" a="1"/>
  <c r="B15" i="1"/>
  <c r="B16" i="1" a="1"/>
  <c r="B16" i="1"/>
  <c r="B17" i="1" a="1"/>
  <c r="B17" i="1" s="1"/>
  <c r="B18" i="1" a="1"/>
  <c r="B18" i="1" s="1"/>
  <c r="B19" i="1" a="1"/>
  <c r="B19" i="1"/>
  <c r="B20" i="1" a="1"/>
  <c r="B20" i="1"/>
  <c r="B21" i="1" a="1"/>
  <c r="B21" i="1"/>
  <c r="B22" i="1" a="1"/>
  <c r="B22" i="1"/>
  <c r="B23" i="1" a="1"/>
  <c r="B23" i="1"/>
  <c r="B24" i="1" a="1"/>
  <c r="B24" i="1"/>
  <c r="B25" i="1" a="1"/>
  <c r="B25" i="1"/>
  <c r="B26" i="1" a="1"/>
  <c r="B26" i="1"/>
  <c r="B27" i="1" a="1"/>
  <c r="B27" i="1"/>
  <c r="B28" i="1" a="1"/>
  <c r="B28" i="1"/>
  <c r="B29" i="1" a="1"/>
  <c r="B29" i="1"/>
  <c r="B30" i="1" a="1"/>
  <c r="B30" i="1"/>
  <c r="B31" i="1" a="1"/>
  <c r="B31" i="1" s="1"/>
  <c r="B32" i="1" a="1"/>
  <c r="B32" i="1" s="1"/>
  <c r="B33" i="1" a="1"/>
  <c r="B33" i="1"/>
  <c r="B34" i="1" a="1"/>
  <c r="B34" i="1"/>
  <c r="B35" i="1" a="1"/>
  <c r="B35" i="1"/>
  <c r="B36" i="1" a="1"/>
  <c r="B36" i="1"/>
  <c r="B37" i="1" a="1"/>
  <c r="B37" i="1"/>
  <c r="B38" i="1" a="1"/>
  <c r="B38" i="1"/>
  <c r="B39" i="1" a="1"/>
  <c r="B39" i="1"/>
  <c r="B40" i="1" a="1"/>
  <c r="B40" i="1"/>
  <c r="B41" i="1" a="1"/>
  <c r="B41" i="1"/>
  <c r="B42" i="1" a="1"/>
  <c r="B42" i="1"/>
  <c r="B43" i="1" a="1"/>
  <c r="B43" i="1"/>
  <c r="B44" i="1" a="1"/>
  <c r="B44" i="1"/>
  <c r="B45" i="1" a="1"/>
  <c r="B45" i="1" s="1"/>
  <c r="B46" i="1" a="1"/>
  <c r="B46" i="1" s="1"/>
  <c r="B47" i="1" a="1"/>
  <c r="B47" i="1"/>
  <c r="B48" i="1" a="1"/>
  <c r="B48" i="1"/>
  <c r="B49" i="1" a="1"/>
  <c r="B49" i="1"/>
  <c r="B50" i="1" a="1"/>
  <c r="B50" i="1"/>
  <c r="B51" i="1" a="1"/>
  <c r="B51" i="1"/>
  <c r="B52" i="1" a="1"/>
  <c r="B52" i="1"/>
  <c r="B53" i="1" a="1"/>
  <c r="B53" i="1"/>
  <c r="B54" i="1" a="1"/>
  <c r="B54" i="1"/>
  <c r="B55" i="1" a="1"/>
  <c r="B55" i="1"/>
  <c r="B56" i="1" a="1"/>
  <c r="B56" i="1"/>
  <c r="B57" i="1" a="1"/>
  <c r="B57" i="1"/>
  <c r="B58" i="1" a="1"/>
  <c r="B58" i="1"/>
  <c r="B59" i="1" a="1"/>
  <c r="B59" i="1" s="1"/>
  <c r="B60" i="1" a="1"/>
  <c r="B60" i="1" s="1"/>
  <c r="B61" i="1" a="1"/>
  <c r="B61" i="1"/>
  <c r="B62" i="1" a="1"/>
  <c r="B62" i="1"/>
  <c r="B63" i="1" a="1"/>
  <c r="B63" i="1"/>
  <c r="B64" i="1" a="1"/>
  <c r="B64" i="1"/>
  <c r="B65" i="1" a="1"/>
  <c r="B65" i="1"/>
  <c r="B66" i="1" a="1"/>
  <c r="B66" i="1"/>
  <c r="B67" i="1" a="1"/>
  <c r="B67" i="1"/>
  <c r="B68" i="1" a="1"/>
  <c r="B68" i="1"/>
  <c r="B69" i="1" a="1"/>
  <c r="B69" i="1"/>
  <c r="B70" i="1" a="1"/>
  <c r="B70" i="1"/>
  <c r="B71" i="1" a="1"/>
  <c r="B71" i="1"/>
  <c r="B72" i="1" a="1"/>
  <c r="B72" i="1"/>
  <c r="B73" i="1" a="1"/>
  <c r="B73" i="1" s="1"/>
  <c r="B74" i="1" a="1"/>
  <c r="B74" i="1" s="1"/>
  <c r="B75" i="1" a="1"/>
  <c r="B75" i="1"/>
  <c r="B76" i="1" a="1"/>
  <c r="B76" i="1"/>
  <c r="B77" i="1" a="1"/>
  <c r="B77" i="1"/>
  <c r="B78" i="1" a="1"/>
  <c r="B78" i="1"/>
  <c r="B79" i="1" a="1"/>
  <c r="B79" i="1"/>
  <c r="B80" i="1" a="1"/>
  <c r="B80" i="1"/>
  <c r="B81" i="1" a="1"/>
  <c r="B81" i="1"/>
  <c r="B82" i="1" a="1"/>
  <c r="B82" i="1"/>
  <c r="B83" i="1" a="1"/>
  <c r="B83" i="1"/>
  <c r="B84" i="1" a="1"/>
  <c r="B84" i="1"/>
  <c r="B85" i="1" a="1"/>
  <c r="B85" i="1"/>
  <c r="B86" i="1" a="1"/>
  <c r="B86" i="1"/>
  <c r="B87" i="1" a="1"/>
  <c r="B87" i="1" s="1"/>
  <c r="B88" i="1" a="1"/>
  <c r="B88" i="1" s="1"/>
  <c r="B89" i="1" a="1"/>
  <c r="B89" i="1"/>
  <c r="B90" i="1" a="1"/>
  <c r="B90" i="1"/>
  <c r="B91" i="1" a="1"/>
  <c r="B91" i="1"/>
  <c r="B92" i="1" a="1"/>
  <c r="B92" i="1"/>
  <c r="B93" i="1" a="1"/>
  <c r="B93" i="1"/>
  <c r="B94" i="1" a="1"/>
  <c r="B94" i="1"/>
  <c r="B95" i="1" a="1"/>
  <c r="B95" i="1"/>
  <c r="B96" i="1" a="1"/>
  <c r="B96" i="1"/>
  <c r="B97" i="1" a="1"/>
  <c r="B97" i="1"/>
  <c r="B98" i="1" a="1"/>
  <c r="B98" i="1"/>
  <c r="B99" i="1" a="1"/>
  <c r="B99" i="1"/>
  <c r="B100" i="1" a="1"/>
  <c r="B100" i="1"/>
  <c r="B101" i="1" a="1"/>
  <c r="B101" i="1" s="1"/>
  <c r="B102" i="1" a="1"/>
  <c r="B102" i="1" s="1"/>
  <c r="B103" i="1" a="1"/>
  <c r="B103" i="1"/>
  <c r="B104" i="1" a="1"/>
  <c r="B104" i="1"/>
  <c r="B105" i="1" a="1"/>
  <c r="B105" i="1"/>
  <c r="B106" i="1" a="1"/>
  <c r="B106" i="1"/>
  <c r="B107" i="1" a="1"/>
  <c r="B107" i="1"/>
  <c r="B108" i="1" a="1"/>
  <c r="B108" i="1"/>
  <c r="B109" i="1" a="1"/>
  <c r="B109" i="1"/>
  <c r="B110" i="1" a="1"/>
  <c r="B110" i="1"/>
  <c r="B111" i="1" a="1"/>
  <c r="B111" i="1"/>
  <c r="B112" i="1" a="1"/>
  <c r="B112" i="1"/>
  <c r="B113" i="1" a="1"/>
  <c r="B113" i="1"/>
  <c r="B114" i="1" a="1"/>
  <c r="B114" i="1"/>
  <c r="B115" i="1" a="1"/>
  <c r="B115" i="1" s="1"/>
  <c r="B116" i="1" a="1"/>
  <c r="B116" i="1" s="1"/>
  <c r="B117" i="1" a="1"/>
  <c r="B117" i="1"/>
  <c r="B118" i="1" a="1"/>
  <c r="B118" i="1"/>
  <c r="B119" i="1" a="1"/>
  <c r="B119" i="1"/>
  <c r="B120" i="1" a="1"/>
  <c r="B120" i="1"/>
  <c r="B121" i="1" a="1"/>
  <c r="B121" i="1"/>
  <c r="B122" i="1" a="1"/>
  <c r="B122" i="1"/>
  <c r="B123" i="1" a="1"/>
  <c r="B123" i="1"/>
  <c r="B124" i="1" a="1"/>
  <c r="B124" i="1"/>
  <c r="B125" i="1" a="1"/>
  <c r="B125" i="1"/>
  <c r="B126" i="1" a="1"/>
  <c r="B126" i="1"/>
  <c r="B127" i="1" a="1"/>
  <c r="B127" i="1"/>
  <c r="B128" i="1" a="1"/>
  <c r="B128" i="1" s="1"/>
  <c r="B129" i="1" a="1"/>
  <c r="B129" i="1" s="1"/>
  <c r="B130" i="1" a="1"/>
  <c r="B130" i="1" s="1"/>
  <c r="B131" i="1" a="1"/>
  <c r="B131" i="1"/>
  <c r="B132" i="1" a="1"/>
  <c r="B132" i="1"/>
  <c r="B133" i="1" a="1"/>
  <c r="B133" i="1"/>
  <c r="B134" i="1" a="1"/>
  <c r="B134" i="1"/>
  <c r="B135" i="1" a="1"/>
  <c r="B135" i="1"/>
  <c r="B136" i="1" a="1"/>
  <c r="B136" i="1"/>
  <c r="B2" i="1" a="1"/>
  <c r="B2" i="1" s="1"/>
  <c r="M177" i="2"/>
  <c r="L177" i="2"/>
  <c r="K177" i="2"/>
  <c r="J177" i="2"/>
  <c r="M176" i="2"/>
  <c r="L176" i="2"/>
  <c r="K176" i="2"/>
  <c r="J176" i="2"/>
  <c r="M175" i="2"/>
  <c r="L175" i="2"/>
  <c r="K175" i="2"/>
  <c r="J175" i="2"/>
  <c r="M174" i="2"/>
  <c r="L174" i="2"/>
  <c r="K174" i="2"/>
  <c r="J174" i="2"/>
  <c r="M173" i="2"/>
  <c r="L173" i="2"/>
  <c r="K173" i="2"/>
  <c r="J173" i="2"/>
  <c r="A173" i="2"/>
  <c r="A175" i="2" s="1"/>
  <c r="A177" i="2" s="1"/>
  <c r="M172" i="2"/>
  <c r="L172" i="2"/>
  <c r="K172" i="2"/>
  <c r="J172" i="2"/>
  <c r="M171" i="2"/>
  <c r="L171" i="2"/>
  <c r="K171" i="2"/>
  <c r="J171" i="2"/>
  <c r="A171" i="2"/>
  <c r="M170" i="2"/>
  <c r="L170" i="2"/>
  <c r="K170" i="2"/>
  <c r="J170" i="2"/>
  <c r="A170" i="2"/>
  <c r="A172" i="2" s="1"/>
  <c r="A174" i="2" s="1"/>
  <c r="A176" i="2" s="1"/>
  <c r="M169" i="2"/>
  <c r="L169" i="2"/>
  <c r="K169" i="2"/>
  <c r="J169" i="2"/>
  <c r="M168" i="2"/>
  <c r="L168" i="2"/>
  <c r="K168" i="2"/>
  <c r="J168" i="2"/>
  <c r="M167" i="2"/>
  <c r="L167" i="2"/>
  <c r="K167" i="2"/>
  <c r="J167" i="2"/>
  <c r="A167" i="2"/>
  <c r="M166" i="2"/>
  <c r="L166" i="2"/>
  <c r="K166" i="2"/>
  <c r="J166" i="2"/>
  <c r="A166" i="2"/>
  <c r="M165" i="2"/>
  <c r="L165" i="2"/>
  <c r="K165" i="2"/>
  <c r="J165" i="2"/>
  <c r="M164" i="2"/>
  <c r="L164" i="2"/>
  <c r="K164" i="2"/>
  <c r="J164" i="2"/>
  <c r="M163" i="2"/>
  <c r="L163" i="2"/>
  <c r="K163" i="2"/>
  <c r="J163" i="2"/>
  <c r="A163" i="2"/>
  <c r="M162" i="2"/>
  <c r="L162" i="2"/>
  <c r="K162" i="2"/>
  <c r="J162" i="2"/>
  <c r="A162" i="2"/>
  <c r="M161" i="2"/>
  <c r="L161" i="2"/>
  <c r="K161" i="2"/>
  <c r="J161" i="2"/>
  <c r="M160" i="2"/>
  <c r="L160" i="2"/>
  <c r="K160" i="2"/>
  <c r="J160" i="2"/>
  <c r="M159" i="2"/>
  <c r="L159" i="2"/>
  <c r="K159" i="2"/>
  <c r="J159" i="2"/>
  <c r="M158" i="2"/>
  <c r="L158" i="2"/>
  <c r="K158" i="2"/>
  <c r="J158" i="2"/>
  <c r="M157" i="2"/>
  <c r="L157" i="2"/>
  <c r="K157" i="2"/>
  <c r="J157" i="2"/>
  <c r="A157" i="2"/>
  <c r="M156" i="2"/>
  <c r="L156" i="2"/>
  <c r="K156" i="2"/>
  <c r="J156" i="2"/>
  <c r="A156" i="2"/>
  <c r="M155" i="2"/>
  <c r="L155" i="2"/>
  <c r="K155" i="2"/>
  <c r="J155" i="2"/>
  <c r="M154" i="2"/>
  <c r="L154" i="2"/>
  <c r="K154" i="2"/>
  <c r="J154" i="2"/>
  <c r="M153" i="2"/>
  <c r="L153" i="2"/>
  <c r="K153" i="2"/>
  <c r="J153" i="2"/>
  <c r="M152" i="2"/>
  <c r="L152" i="2"/>
  <c r="K152" i="2"/>
  <c r="J152" i="2"/>
  <c r="M151" i="2"/>
  <c r="L151" i="2"/>
  <c r="K151" i="2"/>
  <c r="J151" i="2"/>
  <c r="M150" i="2"/>
  <c r="L150" i="2"/>
  <c r="K150" i="2"/>
  <c r="J150" i="2"/>
  <c r="M149" i="2"/>
  <c r="L149" i="2"/>
  <c r="K149" i="2"/>
  <c r="J149" i="2"/>
  <c r="M148" i="2"/>
  <c r="L148" i="2"/>
  <c r="K148" i="2"/>
  <c r="J148" i="2"/>
  <c r="M147" i="2"/>
  <c r="L147" i="2"/>
  <c r="K147" i="2"/>
  <c r="J147" i="2"/>
  <c r="M146" i="2"/>
  <c r="L146" i="2"/>
  <c r="K146" i="2"/>
  <c r="J146" i="2"/>
  <c r="M145" i="2"/>
  <c r="L145" i="2"/>
  <c r="K145" i="2"/>
  <c r="J145" i="2"/>
  <c r="M144" i="2"/>
  <c r="L144" i="2"/>
  <c r="K144" i="2"/>
  <c r="J144" i="2"/>
  <c r="M143" i="2"/>
  <c r="L143" i="2"/>
  <c r="K143" i="2"/>
  <c r="J143" i="2"/>
  <c r="M142" i="2"/>
  <c r="L142" i="2"/>
  <c r="K142" i="2"/>
  <c r="J142" i="2"/>
  <c r="M141" i="2"/>
  <c r="L141" i="2"/>
  <c r="K141" i="2"/>
  <c r="J141" i="2"/>
  <c r="M140" i="2"/>
  <c r="L140" i="2"/>
  <c r="K140" i="2"/>
  <c r="J140" i="2"/>
  <c r="M139" i="2"/>
  <c r="L139" i="2"/>
  <c r="K139" i="2"/>
  <c r="J139" i="2"/>
  <c r="M138" i="2"/>
  <c r="L138" i="2"/>
  <c r="K138" i="2"/>
  <c r="J138" i="2"/>
  <c r="M137" i="2"/>
  <c r="L137" i="2"/>
  <c r="K137" i="2"/>
  <c r="J137" i="2"/>
  <c r="M136" i="2"/>
  <c r="L136" i="2"/>
  <c r="K136" i="2"/>
  <c r="J136" i="2"/>
  <c r="M135" i="2"/>
  <c r="L135" i="2"/>
  <c r="K135" i="2"/>
  <c r="J135" i="2"/>
  <c r="M134" i="2"/>
  <c r="L134" i="2"/>
  <c r="K134" i="2"/>
  <c r="J134" i="2"/>
  <c r="M133" i="2"/>
  <c r="L133" i="2"/>
  <c r="K133" i="2"/>
  <c r="J133" i="2"/>
  <c r="M132" i="2"/>
  <c r="L132" i="2"/>
  <c r="K132" i="2"/>
  <c r="J132" i="2"/>
  <c r="M131" i="2"/>
  <c r="L131" i="2"/>
  <c r="K131" i="2"/>
  <c r="J131" i="2"/>
  <c r="M130" i="2"/>
  <c r="L130" i="2"/>
  <c r="K130" i="2"/>
  <c r="J130" i="2"/>
  <c r="M129" i="2"/>
  <c r="L129" i="2"/>
  <c r="K129" i="2"/>
  <c r="J129" i="2"/>
  <c r="M128" i="2"/>
  <c r="L128" i="2"/>
  <c r="K128" i="2"/>
  <c r="J128" i="2"/>
  <c r="M127" i="2"/>
  <c r="L127" i="2"/>
  <c r="K127" i="2"/>
  <c r="J127" i="2"/>
  <c r="M126" i="2"/>
  <c r="L126" i="2"/>
  <c r="K126" i="2"/>
  <c r="J126" i="2"/>
  <c r="M125" i="2"/>
  <c r="L125" i="2"/>
  <c r="K125" i="2"/>
  <c r="J125" i="2"/>
  <c r="M124" i="2"/>
  <c r="L124" i="2"/>
  <c r="K124" i="2"/>
  <c r="J124" i="2"/>
  <c r="M123" i="2"/>
  <c r="L123" i="2"/>
  <c r="K123" i="2"/>
  <c r="J123" i="2"/>
  <c r="M122" i="2"/>
  <c r="L122" i="2"/>
  <c r="K122" i="2"/>
  <c r="J122" i="2"/>
  <c r="M121" i="2"/>
  <c r="L121" i="2"/>
  <c r="K121" i="2"/>
  <c r="J121" i="2"/>
  <c r="M120" i="2"/>
  <c r="L120" i="2"/>
  <c r="K120" i="2"/>
  <c r="J120" i="2"/>
  <c r="M119" i="2"/>
  <c r="L119" i="2"/>
  <c r="K119" i="2"/>
  <c r="J119" i="2"/>
  <c r="M118" i="2"/>
  <c r="L118" i="2"/>
  <c r="K118" i="2"/>
  <c r="J118" i="2"/>
  <c r="M117" i="2"/>
  <c r="L117" i="2"/>
  <c r="K117" i="2"/>
  <c r="J117" i="2"/>
  <c r="M116" i="2"/>
  <c r="L116" i="2"/>
  <c r="K116" i="2"/>
  <c r="J116" i="2"/>
  <c r="M115" i="2"/>
  <c r="L115" i="2"/>
  <c r="K115" i="2"/>
  <c r="J115" i="2"/>
  <c r="M114" i="2"/>
  <c r="L114" i="2"/>
  <c r="K114" i="2"/>
  <c r="J114" i="2"/>
  <c r="M113" i="2"/>
  <c r="L113" i="2"/>
  <c r="K113" i="2"/>
  <c r="J113" i="2"/>
  <c r="M112" i="2"/>
  <c r="L112" i="2"/>
  <c r="K112" i="2"/>
  <c r="J112" i="2"/>
  <c r="M111" i="2"/>
  <c r="L111" i="2"/>
  <c r="K111" i="2"/>
  <c r="J111" i="2"/>
  <c r="M110" i="2"/>
  <c r="L110" i="2"/>
  <c r="K110" i="2"/>
  <c r="J110" i="2"/>
  <c r="M109" i="2"/>
  <c r="L109" i="2"/>
  <c r="K109" i="2"/>
  <c r="J109" i="2"/>
  <c r="M108" i="2"/>
  <c r="L108" i="2"/>
  <c r="K108" i="2"/>
  <c r="J108" i="2"/>
  <c r="M107" i="2"/>
  <c r="L107" i="2"/>
  <c r="K107" i="2"/>
  <c r="J107" i="2"/>
  <c r="M106" i="2"/>
  <c r="L106" i="2"/>
  <c r="K106" i="2"/>
  <c r="J106" i="2"/>
  <c r="M105" i="2"/>
  <c r="L105" i="2"/>
  <c r="K105" i="2"/>
  <c r="J105" i="2"/>
  <c r="R104" i="2"/>
  <c r="M104" i="2"/>
  <c r="L104" i="2"/>
  <c r="K104" i="2"/>
  <c r="J104" i="2"/>
  <c r="M103" i="2"/>
  <c r="L103" i="2"/>
  <c r="K103" i="2"/>
  <c r="J103" i="2"/>
  <c r="M102" i="2"/>
  <c r="L102" i="2"/>
  <c r="K102" i="2"/>
  <c r="J102" i="2"/>
  <c r="M101" i="2"/>
  <c r="L101" i="2"/>
  <c r="K101" i="2"/>
  <c r="J101" i="2"/>
  <c r="M100" i="2"/>
  <c r="L100" i="2"/>
  <c r="K100" i="2"/>
  <c r="J100" i="2"/>
  <c r="M99" i="2"/>
  <c r="L99" i="2"/>
  <c r="K99" i="2"/>
  <c r="J99" i="2"/>
  <c r="M98" i="2"/>
  <c r="L98" i="2"/>
  <c r="K98" i="2"/>
  <c r="J98" i="2"/>
  <c r="M97" i="2"/>
  <c r="L97" i="2"/>
  <c r="K97" i="2"/>
  <c r="J97" i="2"/>
  <c r="M96" i="2"/>
  <c r="L96" i="2"/>
  <c r="K96" i="2"/>
  <c r="J96" i="2"/>
  <c r="M95" i="2"/>
  <c r="L95" i="2"/>
  <c r="K95" i="2"/>
  <c r="J95" i="2"/>
  <c r="M94" i="2"/>
  <c r="L94" i="2"/>
  <c r="K94" i="2"/>
  <c r="J94" i="2"/>
  <c r="M93" i="2"/>
  <c r="L93" i="2"/>
  <c r="K93" i="2"/>
  <c r="J93" i="2"/>
  <c r="M92" i="2"/>
  <c r="L92" i="2"/>
  <c r="K92" i="2"/>
  <c r="J92" i="2"/>
  <c r="M91" i="2"/>
  <c r="L91" i="2"/>
  <c r="K91" i="2"/>
  <c r="J91" i="2"/>
  <c r="M90" i="2"/>
  <c r="L90" i="2"/>
  <c r="K90" i="2"/>
  <c r="J90" i="2"/>
  <c r="M89" i="2"/>
  <c r="L89" i="2"/>
  <c r="K89" i="2"/>
  <c r="J89" i="2"/>
  <c r="M88" i="2"/>
  <c r="L88" i="2"/>
  <c r="K88" i="2"/>
  <c r="J88" i="2"/>
  <c r="M87" i="2"/>
  <c r="L87" i="2"/>
  <c r="K87" i="2"/>
  <c r="J87" i="2"/>
  <c r="M86" i="2"/>
  <c r="L86" i="2"/>
  <c r="K86" i="2"/>
  <c r="J86" i="2"/>
  <c r="M85" i="2"/>
  <c r="L85" i="2"/>
  <c r="K85" i="2"/>
  <c r="J85" i="2"/>
  <c r="M84" i="2"/>
  <c r="L84" i="2"/>
  <c r="K84" i="2"/>
  <c r="J84" i="2"/>
  <c r="M83" i="2"/>
  <c r="L83" i="2"/>
  <c r="K83" i="2"/>
  <c r="J83" i="2"/>
  <c r="M82" i="2"/>
  <c r="L82" i="2"/>
  <c r="K82" i="2"/>
  <c r="J82" i="2"/>
  <c r="M81" i="2"/>
  <c r="L81" i="2"/>
  <c r="K81" i="2"/>
  <c r="J81" i="2"/>
  <c r="M80" i="2"/>
  <c r="L80" i="2"/>
  <c r="K80" i="2"/>
  <c r="J80" i="2"/>
  <c r="M79" i="2"/>
  <c r="L79" i="2"/>
  <c r="K79" i="2"/>
  <c r="J79" i="2"/>
  <c r="M78" i="2"/>
  <c r="L78" i="2"/>
  <c r="K78" i="2"/>
  <c r="J78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K72" i="2"/>
  <c r="J72" i="2"/>
  <c r="M71" i="2"/>
  <c r="L71" i="2"/>
  <c r="K71" i="2"/>
  <c r="J71" i="2"/>
  <c r="M70" i="2"/>
  <c r="L70" i="2"/>
  <c r="K70" i="2"/>
  <c r="J70" i="2"/>
  <c r="M69" i="2"/>
  <c r="L69" i="2"/>
  <c r="K69" i="2"/>
  <c r="J69" i="2"/>
  <c r="M68" i="2"/>
  <c r="L68" i="2"/>
  <c r="K68" i="2"/>
  <c r="J68" i="2"/>
  <c r="M67" i="2"/>
  <c r="L67" i="2"/>
  <c r="K67" i="2"/>
  <c r="J67" i="2"/>
  <c r="M66" i="2"/>
  <c r="L66" i="2"/>
  <c r="K66" i="2"/>
  <c r="J66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L62" i="2"/>
  <c r="K62" i="2"/>
  <c r="J62" i="2"/>
  <c r="M61" i="2"/>
  <c r="L61" i="2"/>
  <c r="K61" i="2"/>
  <c r="J61" i="2"/>
  <c r="M60" i="2"/>
  <c r="L60" i="2"/>
  <c r="K60" i="2"/>
  <c r="J60" i="2"/>
  <c r="M59" i="2"/>
  <c r="L59" i="2"/>
  <c r="K59" i="2"/>
  <c r="J59" i="2"/>
  <c r="M58" i="2"/>
  <c r="L58" i="2"/>
  <c r="K58" i="2"/>
  <c r="J58" i="2"/>
  <c r="M57" i="2"/>
  <c r="L57" i="2"/>
  <c r="K57" i="2"/>
  <c r="J57" i="2"/>
  <c r="M56" i="2"/>
  <c r="L56" i="2"/>
  <c r="K56" i="2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M51" i="2"/>
  <c r="L51" i="2"/>
  <c r="K51" i="2"/>
  <c r="J51" i="2"/>
  <c r="M50" i="2"/>
  <c r="L50" i="2"/>
  <c r="K50" i="2"/>
  <c r="J50" i="2"/>
  <c r="M49" i="2"/>
  <c r="L49" i="2"/>
  <c r="K49" i="2"/>
  <c r="J49" i="2"/>
  <c r="M48" i="2"/>
  <c r="L48" i="2"/>
  <c r="K48" i="2"/>
  <c r="J48" i="2"/>
  <c r="M47" i="2"/>
  <c r="L47" i="2"/>
  <c r="K47" i="2"/>
  <c r="J47" i="2"/>
  <c r="M46" i="2"/>
  <c r="L46" i="2"/>
  <c r="K46" i="2"/>
  <c r="J46" i="2"/>
  <c r="M45" i="2"/>
  <c r="L45" i="2"/>
  <c r="K45" i="2"/>
  <c r="J45" i="2"/>
  <c r="M44" i="2"/>
  <c r="L44" i="2"/>
  <c r="K44" i="2"/>
  <c r="J44" i="2"/>
  <c r="M43" i="2"/>
  <c r="L43" i="2"/>
  <c r="K43" i="2"/>
  <c r="J43" i="2"/>
  <c r="M42" i="2"/>
  <c r="L42" i="2"/>
  <c r="K42" i="2"/>
  <c r="J42" i="2"/>
  <c r="M41" i="2"/>
  <c r="L41" i="2"/>
  <c r="K41" i="2"/>
  <c r="J41" i="2"/>
  <c r="M40" i="2"/>
  <c r="L40" i="2"/>
  <c r="K40" i="2"/>
  <c r="J40" i="2"/>
  <c r="M39" i="2"/>
  <c r="L39" i="2"/>
  <c r="K39" i="2"/>
  <c r="J39" i="2"/>
  <c r="M38" i="2"/>
  <c r="L38" i="2"/>
  <c r="K38" i="2"/>
  <c r="J38" i="2"/>
  <c r="M37" i="2"/>
  <c r="L37" i="2"/>
  <c r="K37" i="2"/>
  <c r="J37" i="2"/>
  <c r="M36" i="2"/>
  <c r="L36" i="2"/>
  <c r="K36" i="2"/>
  <c r="J36" i="2"/>
  <c r="M35" i="2"/>
  <c r="L35" i="2"/>
  <c r="K35" i="2"/>
  <c r="J35" i="2"/>
  <c r="M34" i="2"/>
  <c r="L34" i="2"/>
  <c r="K34" i="2"/>
  <c r="J34" i="2"/>
  <c r="M33" i="2"/>
  <c r="L33" i="2"/>
  <c r="K33" i="2"/>
  <c r="J33" i="2"/>
  <c r="M32" i="2"/>
  <c r="L32" i="2"/>
  <c r="K32" i="2"/>
  <c r="J32" i="2"/>
  <c r="M31" i="2"/>
  <c r="L31" i="2"/>
  <c r="K31" i="2"/>
  <c r="J31" i="2"/>
  <c r="M30" i="2"/>
  <c r="L30" i="2"/>
  <c r="K30" i="2"/>
  <c r="J30" i="2"/>
  <c r="M29" i="2"/>
  <c r="L29" i="2"/>
  <c r="K29" i="2"/>
  <c r="J29" i="2"/>
  <c r="M28" i="2"/>
  <c r="L28" i="2"/>
  <c r="K28" i="2"/>
  <c r="J28" i="2"/>
  <c r="M27" i="2"/>
  <c r="L27" i="2"/>
  <c r="K27" i="2"/>
  <c r="J27" i="2"/>
  <c r="M26" i="2"/>
  <c r="L26" i="2"/>
  <c r="K26" i="2"/>
  <c r="J26" i="2"/>
  <c r="M25" i="2"/>
  <c r="L25" i="2"/>
  <c r="K25" i="2"/>
  <c r="J25" i="2"/>
  <c r="M24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L10" i="2"/>
  <c r="K10" i="2"/>
  <c r="J10" i="2"/>
  <c r="M9" i="2"/>
  <c r="L9" i="2"/>
  <c r="K9" i="2"/>
  <c r="J9" i="2"/>
  <c r="M8" i="2"/>
  <c r="L8" i="2"/>
  <c r="K8" i="2"/>
  <c r="J8" i="2"/>
  <c r="M7" i="2"/>
  <c r="L7" i="2"/>
  <c r="K7" i="2"/>
  <c r="J7" i="2"/>
  <c r="M6" i="2"/>
  <c r="L6" i="2"/>
  <c r="K6" i="2"/>
  <c r="J6" i="2"/>
  <c r="M5" i="2"/>
  <c r="L5" i="2"/>
  <c r="K5" i="2"/>
  <c r="J5" i="2"/>
  <c r="A5" i="2"/>
  <c r="A7" i="2" s="1"/>
  <c r="A9" i="2" s="1"/>
  <c r="A11" i="2" s="1"/>
  <c r="A13" i="2" s="1"/>
  <c r="A15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M4" i="2"/>
  <c r="L4" i="2"/>
  <c r="K4" i="2"/>
  <c r="J4" i="2"/>
  <c r="R99" i="2" s="1"/>
  <c r="A4" i="2"/>
  <c r="A6" i="2" s="1"/>
  <c r="A8" i="2" s="1"/>
  <c r="A10" i="2" s="1"/>
  <c r="A12" i="2" s="1"/>
  <c r="A14" i="2" s="1"/>
  <c r="A16" i="2" s="1"/>
  <c r="A18" i="2" s="1"/>
  <c r="A20" i="2" s="1"/>
  <c r="A22" i="2" s="1"/>
  <c r="A24" i="2" s="1"/>
  <c r="A26" i="2" s="1"/>
  <c r="A28" i="2" s="1"/>
  <c r="A30" i="2" s="1"/>
  <c r="A32" i="2" s="1"/>
  <c r="A34" i="2" s="1"/>
  <c r="A36" i="2" s="1"/>
  <c r="A38" i="2" s="1"/>
  <c r="A40" i="2" s="1"/>
  <c r="A42" i="2" s="1"/>
  <c r="A44" i="2" s="1"/>
  <c r="A46" i="2" s="1"/>
  <c r="A48" i="2" s="1"/>
  <c r="A50" i="2" s="1"/>
  <c r="A52" i="2" s="1"/>
  <c r="A54" i="2" s="1"/>
  <c r="A56" i="2" s="1"/>
  <c r="A58" i="2" s="1"/>
  <c r="A60" i="2" s="1"/>
  <c r="A62" i="2" s="1"/>
  <c r="A64" i="2" s="1"/>
  <c r="A66" i="2" s="1"/>
  <c r="A68" i="2" s="1"/>
  <c r="A70" i="2" s="1"/>
  <c r="A72" i="2" s="1"/>
  <c r="A74" i="2" s="1"/>
  <c r="A76" i="2" s="1"/>
  <c r="A78" i="2" s="1"/>
  <c r="A80" i="2" s="1"/>
  <c r="A82" i="2" s="1"/>
  <c r="A84" i="2" s="1"/>
  <c r="A86" i="2" s="1"/>
  <c r="A88" i="2" s="1"/>
  <c r="A90" i="2" s="1"/>
  <c r="A92" i="2" s="1"/>
  <c r="A94" i="2" s="1"/>
  <c r="A96" i="2" s="1"/>
  <c r="A98" i="2" s="1"/>
  <c r="A100" i="2" s="1"/>
  <c r="A102" i="2" s="1"/>
  <c r="A104" i="2" s="1"/>
  <c r="A106" i="2" s="1"/>
  <c r="A108" i="2" s="1"/>
  <c r="A110" i="2" s="1"/>
  <c r="A112" i="2" s="1"/>
  <c r="A114" i="2" s="1"/>
  <c r="A116" i="2" s="1"/>
  <c r="A118" i="2" s="1"/>
  <c r="A120" i="2" s="1"/>
  <c r="A122" i="2" s="1"/>
  <c r="A124" i="2" s="1"/>
  <c r="A126" i="2" s="1"/>
  <c r="A128" i="2" s="1"/>
  <c r="A130" i="2" s="1"/>
  <c r="A132" i="2" s="1"/>
  <c r="A134" i="2" s="1"/>
  <c r="A136" i="2" s="1"/>
  <c r="A138" i="2" s="1"/>
  <c r="A140" i="2" s="1"/>
  <c r="A142" i="2" s="1"/>
  <c r="A144" i="2" s="1"/>
  <c r="A146" i="2" s="1"/>
  <c r="A148" i="2" s="1"/>
  <c r="A150" i="2" s="1"/>
  <c r="A152" i="2" s="1"/>
  <c r="M3" i="2"/>
  <c r="L3" i="2"/>
  <c r="R101" i="2" s="1"/>
  <c r="K3" i="2"/>
  <c r="R100" i="2" s="1"/>
  <c r="J3" i="2"/>
  <c r="M2" i="2"/>
  <c r="R102" i="2" s="1"/>
  <c r="L2" i="2"/>
  <c r="K2" i="2"/>
  <c r="J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<sst xmlns="http://schemas.openxmlformats.org/spreadsheetml/2006/main" count="1688" uniqueCount="202">
  <si>
    <t>subject_id</t>
  </si>
  <si>
    <t>date</t>
  </si>
  <si>
    <t>condition</t>
  </si>
  <si>
    <t>age</t>
  </si>
  <si>
    <t>education</t>
  </si>
  <si>
    <t>gender</t>
  </si>
  <si>
    <t>income</t>
  </si>
  <si>
    <t>race</t>
  </si>
  <si>
    <t>ethnicity</t>
  </si>
  <si>
    <t>parent</t>
  </si>
  <si>
    <t>toddler_interaction</t>
  </si>
  <si>
    <t>toddler_int_frequency</t>
  </si>
  <si>
    <t>TTA_001</t>
  </si>
  <si>
    <t>some college</t>
  </si>
  <si>
    <t>female</t>
  </si>
  <si>
    <t>40 - 75</t>
  </si>
  <si>
    <t>african-american</t>
  </si>
  <si>
    <t>non-hispanic</t>
  </si>
  <si>
    <t>no</t>
  </si>
  <si>
    <t>yes</t>
  </si>
  <si>
    <t>monthly</t>
  </si>
  <si>
    <t>TTA_002</t>
  </si>
  <si>
    <t>high school graduate</t>
  </si>
  <si>
    <t>&gt;150</t>
  </si>
  <si>
    <t>TTA_003</t>
  </si>
  <si>
    <t>75 - 150</t>
  </si>
  <si>
    <t>white</t>
  </si>
  <si>
    <t>rare</t>
  </si>
  <si>
    <t>TTA_004</t>
  </si>
  <si>
    <t>associates</t>
  </si>
  <si>
    <t>&lt;20</t>
  </si>
  <si>
    <t>weekly</t>
  </si>
  <si>
    <t>TTA_005</t>
  </si>
  <si>
    <t>TTA_006</t>
  </si>
  <si>
    <t>hispanic</t>
  </si>
  <si>
    <t>TTA_007</t>
  </si>
  <si>
    <t>TTA_008</t>
  </si>
  <si>
    <t>TTA_009</t>
  </si>
  <si>
    <t>white/asian</t>
  </si>
  <si>
    <t>TTA_010</t>
  </si>
  <si>
    <t>few/week</t>
  </si>
  <si>
    <t>TTA_011</t>
  </si>
  <si>
    <t>TTA_012</t>
  </si>
  <si>
    <t>20 - 40</t>
  </si>
  <si>
    <t>TTA_013</t>
  </si>
  <si>
    <t>TTA_014</t>
  </si>
  <si>
    <t>asian</t>
  </si>
  <si>
    <t>daily</t>
  </si>
  <si>
    <t>TTA_015</t>
  </si>
  <si>
    <t>other</t>
  </si>
  <si>
    <t>never</t>
  </si>
  <si>
    <t>TTA_016</t>
  </si>
  <si>
    <t>TTA_017</t>
  </si>
  <si>
    <t>TTA_018</t>
  </si>
  <si>
    <t>TTA_019</t>
  </si>
  <si>
    <t>TTA_020</t>
  </si>
  <si>
    <t>TTA_021</t>
  </si>
  <si>
    <t>TTA_022</t>
  </si>
  <si>
    <t>white/african-american</t>
  </si>
  <si>
    <t>TTA_023</t>
  </si>
  <si>
    <t>TTA_024</t>
  </si>
  <si>
    <t>TTA_025</t>
  </si>
  <si>
    <t>TTA_026</t>
  </si>
  <si>
    <t>african-american/native american</t>
  </si>
  <si>
    <t>TTA_027</t>
  </si>
  <si>
    <t>TTA_028</t>
  </si>
  <si>
    <t>TTA_029</t>
  </si>
  <si>
    <t>male</t>
  </si>
  <si>
    <t>TTA_030</t>
  </si>
  <si>
    <t>TTA_031</t>
  </si>
  <si>
    <t>TTA_032</t>
  </si>
  <si>
    <t>TTA_033</t>
  </si>
  <si>
    <t>TTA_034</t>
  </si>
  <si>
    <t>TTA_035</t>
  </si>
  <si>
    <t>TTA_036</t>
  </si>
  <si>
    <t>ND</t>
  </si>
  <si>
    <t>TTA_037</t>
  </si>
  <si>
    <t>TTA_038</t>
  </si>
  <si>
    <t>TTA_039</t>
  </si>
  <si>
    <t>TTA_040</t>
  </si>
  <si>
    <t>TTA_041</t>
  </si>
  <si>
    <t>TTA_042</t>
  </si>
  <si>
    <t>TTA_043</t>
  </si>
  <si>
    <t>TTA_044</t>
  </si>
  <si>
    <t>TTA_045</t>
  </si>
  <si>
    <t>TTA_046</t>
  </si>
  <si>
    <t>TTA_047</t>
  </si>
  <si>
    <t>TTA_048</t>
  </si>
  <si>
    <t>TTA_049</t>
  </si>
  <si>
    <t>TTA_050</t>
  </si>
  <si>
    <t>TTA_051</t>
  </si>
  <si>
    <t>TTA_052</t>
  </si>
  <si>
    <t>TTA_053</t>
  </si>
  <si>
    <t>TTA_054</t>
  </si>
  <si>
    <t>TTA_055</t>
  </si>
  <si>
    <t>TTA_056</t>
  </si>
  <si>
    <t>TTA_057</t>
  </si>
  <si>
    <t>TTA_058</t>
  </si>
  <si>
    <t>TTA_059</t>
  </si>
  <si>
    <t>TTA_060</t>
  </si>
  <si>
    <t>TTA_061</t>
  </si>
  <si>
    <t>TTA_062</t>
  </si>
  <si>
    <t>TTA_063</t>
  </si>
  <si>
    <t>20 - 75</t>
  </si>
  <si>
    <t>TTA_064</t>
  </si>
  <si>
    <t>TTA_065</t>
  </si>
  <si>
    <t>TTA_066</t>
  </si>
  <si>
    <t>TTA_067</t>
  </si>
  <si>
    <t>TTA_068</t>
  </si>
  <si>
    <t>TTA_069</t>
  </si>
  <si>
    <t>TTA_070</t>
  </si>
  <si>
    <t>TTA_071</t>
  </si>
  <si>
    <t>TTA_072</t>
  </si>
  <si>
    <t>TTA_073</t>
  </si>
  <si>
    <t>TTA_074</t>
  </si>
  <si>
    <t>TTA_075</t>
  </si>
  <si>
    <t>TTA_076</t>
  </si>
  <si>
    <t>TTA_077</t>
  </si>
  <si>
    <t>TTA_078</t>
  </si>
  <si>
    <t>TTA_079</t>
  </si>
  <si>
    <t>TTA_080</t>
  </si>
  <si>
    <t>TTA_081</t>
  </si>
  <si>
    <t>TTA_082</t>
  </si>
  <si>
    <t>african-american/asian</t>
  </si>
  <si>
    <t>TTA_083</t>
  </si>
  <si>
    <t>TTA_084</t>
  </si>
  <si>
    <t>TTA_085</t>
  </si>
  <si>
    <t>TTA_086</t>
  </si>
  <si>
    <t>TTA_087</t>
  </si>
  <si>
    <t>TTA_088</t>
  </si>
  <si>
    <t>TTA_089</t>
  </si>
  <si>
    <t>TTA_090</t>
  </si>
  <si>
    <t>TTA_091</t>
  </si>
  <si>
    <t>TTA_092</t>
  </si>
  <si>
    <t>TTA_093</t>
  </si>
  <si>
    <t>TTA_094</t>
  </si>
  <si>
    <t>TTA_095</t>
  </si>
  <si>
    <t>TTA_096</t>
  </si>
  <si>
    <t>TTA_097</t>
  </si>
  <si>
    <t>TTA_098</t>
  </si>
  <si>
    <t>TTA_099</t>
  </si>
  <si>
    <t>TTA_100</t>
  </si>
  <si>
    <t>TTA_101</t>
  </si>
  <si>
    <t>TTA_103</t>
  </si>
  <si>
    <t>TTA_104</t>
  </si>
  <si>
    <t>TTA_105</t>
  </si>
  <si>
    <t>TTA_106</t>
  </si>
  <si>
    <t>TTA_107</t>
  </si>
  <si>
    <t>TTA_108</t>
  </si>
  <si>
    <t>TTA_109</t>
  </si>
  <si>
    <t>TTA_110</t>
  </si>
  <si>
    <t>TTA_111</t>
  </si>
  <si>
    <t>TTA_112</t>
  </si>
  <si>
    <t>TTA_113</t>
  </si>
  <si>
    <t>TTA_114</t>
  </si>
  <si>
    <t>TTA_115</t>
  </si>
  <si>
    <t>TTA_116</t>
  </si>
  <si>
    <t>TTA_117</t>
  </si>
  <si>
    <t>TTA_118</t>
  </si>
  <si>
    <t>TTA_119</t>
  </si>
  <si>
    <t>TTA_120</t>
  </si>
  <si>
    <t>TTA_121</t>
  </si>
  <si>
    <t>TTA_122</t>
  </si>
  <si>
    <t>TTA_123</t>
  </si>
  <si>
    <t>TTA_124</t>
  </si>
  <si>
    <t>TTA_125</t>
  </si>
  <si>
    <t>TTA_126</t>
  </si>
  <si>
    <t>TTA_127</t>
  </si>
  <si>
    <t>TTA_128</t>
  </si>
  <si>
    <t>TTA_129</t>
  </si>
  <si>
    <t>TTA_130</t>
  </si>
  <si>
    <t>TTA_131</t>
  </si>
  <si>
    <t>TTA_132</t>
  </si>
  <si>
    <t>TTA_133</t>
  </si>
  <si>
    <t>TTA_134</t>
  </si>
  <si>
    <t>TTA_135</t>
  </si>
  <si>
    <t>TTA_136</t>
  </si>
  <si>
    <t>Session</t>
  </si>
  <si>
    <t>Computer ID (A or B)</t>
  </si>
  <si>
    <t>PPID</t>
  </si>
  <si>
    <t>Date</t>
  </si>
  <si>
    <t>Condition</t>
  </si>
  <si>
    <t>Completed</t>
  </si>
  <si>
    <t>PointsAwarded</t>
  </si>
  <si>
    <t>NoShow</t>
  </si>
  <si>
    <t>NoSignup</t>
  </si>
  <si>
    <t>child_count</t>
  </si>
  <si>
    <t>peer_count</t>
  </si>
  <si>
    <t>short_count</t>
  </si>
  <si>
    <t>creative_count</t>
  </si>
  <si>
    <t>B</t>
  </si>
  <si>
    <t>child</t>
  </si>
  <si>
    <t>A</t>
  </si>
  <si>
    <t>peer</t>
  </si>
  <si>
    <t>short</t>
  </si>
  <si>
    <t>creative</t>
  </si>
  <si>
    <t>child_sum</t>
  </si>
  <si>
    <t>peer_sum</t>
  </si>
  <si>
    <t>short_sum</t>
  </si>
  <si>
    <t>creative_sum</t>
  </si>
  <si>
    <t>no_show</t>
  </si>
  <si>
    <t>TTA_102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</si>
</sst>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"/>
  <sheetViews>
    <sheetView tabSelected="1" topLeftCell="A119" workbookViewId="0">
      <selection activeCell="L136" sqref="L136"/>
    </sheetView>
  </sheetViews>
  <sheetFormatPr defaultRowHeight="15"/>
  <cols>
    <col min="1" max="1" width="17.5703125" customWidth="1"/>
    <col min="2" max="2" width="9.7109375" bestFit="1" customWidth="1"/>
    <col min="5" max="5" width="12.28515625" customWidth="1"/>
    <col min="11" max="11" width="18.5703125" bestFit="1" customWidth="1"/>
    <col min="12" max="12" width="21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 cm="1">
        <f t="array" ref="B2:C2">_xlfn.XLOOKUP(A2,Counterbalances!C2:C176,Counterbalances!D2:E176)</f>
        <v>45693</v>
      </c>
      <c r="C2" t="str">
        <v>child</v>
      </c>
      <c r="D2">
        <v>18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s="1" cm="1">
        <f t="array" ref="B3:C3">_xlfn.XLOOKUP(A3,Counterbalances!C3:C177,Counterbalances!D3:E177)</f>
        <v>45693</v>
      </c>
      <c r="C3" t="str">
        <v>peer</v>
      </c>
      <c r="D3">
        <v>18</v>
      </c>
      <c r="E3" t="s">
        <v>22</v>
      </c>
      <c r="F3" t="s">
        <v>14</v>
      </c>
      <c r="G3" t="s">
        <v>23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</row>
    <row r="4" spans="1:12">
      <c r="A4" t="s">
        <v>24</v>
      </c>
      <c r="B4" s="1" cm="1">
        <f t="array" ref="B4:C4">_xlfn.XLOOKUP(A4,Counterbalances!C4:C178,Counterbalances!D4:E178)</f>
        <v>45693</v>
      </c>
      <c r="C4" t="str">
        <v>peer</v>
      </c>
      <c r="D4">
        <v>18</v>
      </c>
      <c r="E4" t="s">
        <v>22</v>
      </c>
      <c r="F4" t="s">
        <v>14</v>
      </c>
      <c r="G4" t="s">
        <v>25</v>
      </c>
      <c r="H4" t="s">
        <v>26</v>
      </c>
      <c r="I4" t="s">
        <v>17</v>
      </c>
      <c r="J4" t="s">
        <v>18</v>
      </c>
      <c r="K4" t="s">
        <v>19</v>
      </c>
      <c r="L4" t="s">
        <v>27</v>
      </c>
    </row>
    <row r="5" spans="1:12">
      <c r="A5" t="s">
        <v>28</v>
      </c>
      <c r="B5" s="1" cm="1">
        <f t="array" ref="B5:C5">_xlfn.XLOOKUP(A5,Counterbalances!C5:C179,Counterbalances!D5:E179)</f>
        <v>45693</v>
      </c>
      <c r="C5" t="str">
        <v>short</v>
      </c>
      <c r="D5">
        <v>20</v>
      </c>
      <c r="E5" t="s">
        <v>29</v>
      </c>
      <c r="F5" t="s">
        <v>14</v>
      </c>
      <c r="G5" t="s">
        <v>30</v>
      </c>
      <c r="H5" t="s">
        <v>26</v>
      </c>
      <c r="I5" t="s">
        <v>17</v>
      </c>
      <c r="J5" t="s">
        <v>18</v>
      </c>
      <c r="K5" t="s">
        <v>19</v>
      </c>
      <c r="L5" t="s">
        <v>31</v>
      </c>
    </row>
    <row r="6" spans="1:12">
      <c r="A6" t="s">
        <v>32</v>
      </c>
      <c r="B6" s="1" cm="1">
        <f t="array" ref="B6:C6">_xlfn.XLOOKUP(A6,Counterbalances!C6:C180,Counterbalances!D6:E180)</f>
        <v>45693</v>
      </c>
      <c r="C6" t="str">
        <v>short</v>
      </c>
      <c r="D6">
        <v>19</v>
      </c>
      <c r="E6" t="s">
        <v>13</v>
      </c>
      <c r="F6" t="s">
        <v>14</v>
      </c>
      <c r="G6" t="s">
        <v>15</v>
      </c>
      <c r="H6" t="s">
        <v>26</v>
      </c>
      <c r="I6" t="s">
        <v>17</v>
      </c>
      <c r="J6" t="s">
        <v>18</v>
      </c>
      <c r="K6" t="s">
        <v>18</v>
      </c>
      <c r="L6" t="s">
        <v>27</v>
      </c>
    </row>
    <row r="7" spans="1:12">
      <c r="A7" t="s">
        <v>33</v>
      </c>
      <c r="B7" s="1" cm="1">
        <f t="array" ref="B7:C7">_xlfn.XLOOKUP(A7,Counterbalances!C7:C181,Counterbalances!D7:E181)</f>
        <v>45693</v>
      </c>
      <c r="C7" t="str">
        <v>creative</v>
      </c>
      <c r="E7" t="s">
        <v>22</v>
      </c>
      <c r="F7" t="s">
        <v>14</v>
      </c>
      <c r="G7" t="s">
        <v>25</v>
      </c>
      <c r="H7" t="s">
        <v>26</v>
      </c>
      <c r="I7" t="s">
        <v>34</v>
      </c>
      <c r="J7" t="s">
        <v>18</v>
      </c>
      <c r="K7" t="s">
        <v>19</v>
      </c>
      <c r="L7" t="s">
        <v>20</v>
      </c>
    </row>
    <row r="8" spans="1:12">
      <c r="A8" t="s">
        <v>35</v>
      </c>
      <c r="B8" s="1" cm="1">
        <f t="array" ref="B8:C8">_xlfn.XLOOKUP(A8,Counterbalances!C8:C182,Counterbalances!D8:E182)</f>
        <v>45693</v>
      </c>
      <c r="C8" t="str">
        <v>creative</v>
      </c>
      <c r="D8">
        <v>22</v>
      </c>
      <c r="E8" t="s">
        <v>22</v>
      </c>
      <c r="F8" t="s">
        <v>14</v>
      </c>
      <c r="G8" t="s">
        <v>25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</row>
    <row r="9" spans="1:12">
      <c r="A9" t="s">
        <v>36</v>
      </c>
      <c r="B9" s="1" cm="1">
        <f t="array" ref="B9:C9">_xlfn.XLOOKUP(A9,Counterbalances!C9:C183,Counterbalances!D9:E183)</f>
        <v>45694</v>
      </c>
      <c r="C9" t="str">
        <v>child</v>
      </c>
      <c r="D9">
        <v>18</v>
      </c>
      <c r="E9" t="s">
        <v>22</v>
      </c>
      <c r="F9" t="s">
        <v>14</v>
      </c>
      <c r="G9" t="s">
        <v>30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</row>
    <row r="10" spans="1:12">
      <c r="A10" t="s">
        <v>37</v>
      </c>
      <c r="B10" s="1" cm="1">
        <f t="array" ref="B10:C10">_xlfn.XLOOKUP(A10,Counterbalances!C10:C184,Counterbalances!D10:E184)</f>
        <v>45694</v>
      </c>
      <c r="C10" t="str">
        <v>child</v>
      </c>
      <c r="D10">
        <v>20</v>
      </c>
      <c r="E10" t="s">
        <v>13</v>
      </c>
      <c r="F10" t="s">
        <v>14</v>
      </c>
      <c r="G10" t="s">
        <v>23</v>
      </c>
      <c r="H10" t="s">
        <v>38</v>
      </c>
      <c r="I10" t="s">
        <v>17</v>
      </c>
      <c r="J10" t="s">
        <v>18</v>
      </c>
      <c r="K10" t="s">
        <v>19</v>
      </c>
      <c r="L10" t="s">
        <v>27</v>
      </c>
    </row>
    <row r="11" spans="1:12">
      <c r="A11" t="s">
        <v>39</v>
      </c>
      <c r="B11" s="1" cm="1">
        <f t="array" ref="B11:C11">_xlfn.XLOOKUP(A11,Counterbalances!C11:C185,Counterbalances!D11:E185)</f>
        <v>45699</v>
      </c>
      <c r="C11" t="str">
        <v>peer</v>
      </c>
      <c r="D11">
        <v>19</v>
      </c>
      <c r="E11" t="s">
        <v>22</v>
      </c>
      <c r="F11" t="s">
        <v>14</v>
      </c>
      <c r="G11" t="s">
        <v>25</v>
      </c>
      <c r="H11" t="s">
        <v>16</v>
      </c>
      <c r="I11" t="s">
        <v>17</v>
      </c>
      <c r="J11" t="s">
        <v>18</v>
      </c>
      <c r="K11" t="s">
        <v>19</v>
      </c>
      <c r="L11" t="s">
        <v>40</v>
      </c>
    </row>
    <row r="12" spans="1:12">
      <c r="A12" t="s">
        <v>41</v>
      </c>
      <c r="B12" s="1" cm="1">
        <f t="array" ref="B12:C12">_xlfn.XLOOKUP(A12,Counterbalances!C12:C186,Counterbalances!D12:E186)</f>
        <v>45699</v>
      </c>
      <c r="C12" t="str">
        <v>peer</v>
      </c>
      <c r="D12">
        <v>21</v>
      </c>
      <c r="E12" t="s">
        <v>13</v>
      </c>
      <c r="F12" t="s">
        <v>14</v>
      </c>
      <c r="G12" t="s">
        <v>25</v>
      </c>
      <c r="H12" t="s">
        <v>26</v>
      </c>
      <c r="I12" t="s">
        <v>17</v>
      </c>
      <c r="J12" t="s">
        <v>18</v>
      </c>
      <c r="K12" t="s">
        <v>19</v>
      </c>
      <c r="L12" t="s">
        <v>20</v>
      </c>
    </row>
    <row r="13" spans="1:12">
      <c r="A13" t="s">
        <v>42</v>
      </c>
      <c r="B13" s="1" cm="1">
        <f t="array" ref="B13:C13">_xlfn.XLOOKUP(A13,Counterbalances!C13:C187,Counterbalances!D13:E187)</f>
        <v>45699</v>
      </c>
      <c r="C13" t="str">
        <v>short</v>
      </c>
      <c r="D13">
        <v>20</v>
      </c>
      <c r="E13" t="s">
        <v>29</v>
      </c>
      <c r="F13" t="s">
        <v>14</v>
      </c>
      <c r="G13" t="s">
        <v>43</v>
      </c>
      <c r="H13" t="s">
        <v>16</v>
      </c>
      <c r="I13" t="s">
        <v>17</v>
      </c>
      <c r="J13" t="s">
        <v>18</v>
      </c>
      <c r="K13" t="s">
        <v>19</v>
      </c>
      <c r="L13" t="s">
        <v>27</v>
      </c>
    </row>
    <row r="14" spans="1:12">
      <c r="A14" t="s">
        <v>44</v>
      </c>
      <c r="B14" s="1" cm="1">
        <f t="array" ref="B14:C14">_xlfn.XLOOKUP(A14,Counterbalances!C14:C188,Counterbalances!D14:E188)</f>
        <v>45699</v>
      </c>
      <c r="C14" t="str">
        <v>creative</v>
      </c>
      <c r="D14">
        <v>18</v>
      </c>
      <c r="E14" t="s">
        <v>22</v>
      </c>
      <c r="F14" t="s">
        <v>14</v>
      </c>
      <c r="G14" t="s">
        <v>30</v>
      </c>
      <c r="H14" t="s">
        <v>16</v>
      </c>
      <c r="I14" t="s">
        <v>17</v>
      </c>
      <c r="J14" t="s">
        <v>18</v>
      </c>
      <c r="K14" t="s">
        <v>18</v>
      </c>
      <c r="L14" t="s">
        <v>27</v>
      </c>
    </row>
    <row r="15" spans="1:12">
      <c r="A15" t="s">
        <v>45</v>
      </c>
      <c r="B15" s="1" cm="1">
        <f t="array" ref="B15:C15">_xlfn.XLOOKUP(A15,Counterbalances!C15:C189,Counterbalances!D15:E189)</f>
        <v>45699</v>
      </c>
      <c r="C15" t="str">
        <v>child</v>
      </c>
      <c r="D15">
        <v>20</v>
      </c>
      <c r="E15" t="s">
        <v>22</v>
      </c>
      <c r="F15" t="s">
        <v>14</v>
      </c>
      <c r="G15" t="s">
        <v>43</v>
      </c>
      <c r="H15" t="s">
        <v>46</v>
      </c>
      <c r="I15" t="s">
        <v>17</v>
      </c>
      <c r="J15" t="s">
        <v>18</v>
      </c>
      <c r="K15" t="s">
        <v>19</v>
      </c>
      <c r="L15" t="s">
        <v>47</v>
      </c>
    </row>
    <row r="16" spans="1:12">
      <c r="A16" t="s">
        <v>48</v>
      </c>
      <c r="B16" s="1" cm="1">
        <f t="array" ref="B16:C16">_xlfn.XLOOKUP(A16,Counterbalances!C16:C190,Counterbalances!D16:E190)</f>
        <v>45699</v>
      </c>
      <c r="C16" t="str">
        <v>child</v>
      </c>
      <c r="D16">
        <v>20</v>
      </c>
      <c r="E16" t="s">
        <v>13</v>
      </c>
      <c r="F16" t="s">
        <v>14</v>
      </c>
      <c r="G16" t="s">
        <v>15</v>
      </c>
      <c r="H16" t="s">
        <v>49</v>
      </c>
      <c r="I16" t="s">
        <v>34</v>
      </c>
      <c r="J16" t="s">
        <v>18</v>
      </c>
      <c r="K16" t="s">
        <v>18</v>
      </c>
      <c r="L16" t="s">
        <v>50</v>
      </c>
    </row>
    <row r="17" spans="1:12">
      <c r="A17" t="s">
        <v>51</v>
      </c>
      <c r="B17" s="1" cm="1">
        <f t="array" ref="B17:C17">_xlfn.XLOOKUP(A17,Counterbalances!C17:C191,Counterbalances!D17:E191)</f>
        <v>45700</v>
      </c>
      <c r="C17" t="str">
        <v>short</v>
      </c>
      <c r="D17">
        <v>19</v>
      </c>
      <c r="E17" t="s">
        <v>22</v>
      </c>
      <c r="F17" t="s">
        <v>14</v>
      </c>
      <c r="G17" t="s">
        <v>25</v>
      </c>
      <c r="H17" t="s">
        <v>16</v>
      </c>
      <c r="I17" t="s">
        <v>17</v>
      </c>
      <c r="J17" t="s">
        <v>18</v>
      </c>
      <c r="K17" t="s">
        <v>19</v>
      </c>
      <c r="L17" t="s">
        <v>20</v>
      </c>
    </row>
    <row r="18" spans="1:12">
      <c r="A18" t="s">
        <v>52</v>
      </c>
      <c r="B18" s="1" cm="1">
        <f t="array" ref="B18:C18">_xlfn.XLOOKUP(A18,Counterbalances!C18:C192,Counterbalances!D18:E192)</f>
        <v>45700</v>
      </c>
      <c r="C18" t="str">
        <v>short</v>
      </c>
      <c r="D18">
        <v>18</v>
      </c>
      <c r="E18" t="s">
        <v>13</v>
      </c>
      <c r="F18" t="s">
        <v>14</v>
      </c>
      <c r="G18" t="s">
        <v>30</v>
      </c>
      <c r="H18" t="s">
        <v>16</v>
      </c>
      <c r="I18" t="s">
        <v>34</v>
      </c>
      <c r="J18" t="s">
        <v>18</v>
      </c>
      <c r="K18" t="s">
        <v>19</v>
      </c>
      <c r="L18" t="s">
        <v>20</v>
      </c>
    </row>
    <row r="19" spans="1:12">
      <c r="A19" t="s">
        <v>53</v>
      </c>
      <c r="B19" s="1" cm="1">
        <f t="array" ref="B19:C19">_xlfn.XLOOKUP(A19,Counterbalances!C19:C193,Counterbalances!D19:E193)</f>
        <v>45700</v>
      </c>
      <c r="C19" t="str">
        <v>creative</v>
      </c>
      <c r="D19">
        <v>19</v>
      </c>
      <c r="E19" t="s">
        <v>22</v>
      </c>
      <c r="F19" t="s">
        <v>14</v>
      </c>
      <c r="G19" t="s">
        <v>43</v>
      </c>
      <c r="H19" t="s">
        <v>49</v>
      </c>
      <c r="I19" t="s">
        <v>34</v>
      </c>
      <c r="J19" t="s">
        <v>18</v>
      </c>
      <c r="K19" t="s">
        <v>19</v>
      </c>
      <c r="L19" t="s">
        <v>20</v>
      </c>
    </row>
    <row r="20" spans="1:12">
      <c r="A20" t="s">
        <v>54</v>
      </c>
      <c r="B20" s="1" cm="1">
        <f t="array" ref="B20:C20">_xlfn.XLOOKUP(A20,Counterbalances!C20:C194,Counterbalances!D20:E194)</f>
        <v>45700</v>
      </c>
      <c r="C20" t="str">
        <v>creative</v>
      </c>
      <c r="D20">
        <v>22</v>
      </c>
      <c r="E20" t="s">
        <v>13</v>
      </c>
      <c r="F20" t="s">
        <v>14</v>
      </c>
      <c r="G20" t="s">
        <v>25</v>
      </c>
      <c r="H20" t="s">
        <v>16</v>
      </c>
      <c r="I20" t="s">
        <v>17</v>
      </c>
      <c r="J20" t="s">
        <v>18</v>
      </c>
      <c r="K20" t="s">
        <v>19</v>
      </c>
      <c r="L20" t="s">
        <v>31</v>
      </c>
    </row>
    <row r="21" spans="1:12">
      <c r="A21" t="s">
        <v>55</v>
      </c>
      <c r="B21" s="1" cm="1">
        <f t="array" ref="B21:C21">_xlfn.XLOOKUP(A21,Counterbalances!C21:C195,Counterbalances!D21:E195)</f>
        <v>45700</v>
      </c>
      <c r="C21" t="str">
        <v>child</v>
      </c>
      <c r="D21">
        <v>20</v>
      </c>
      <c r="E21" t="s">
        <v>13</v>
      </c>
      <c r="F21" t="s">
        <v>14</v>
      </c>
      <c r="G21" t="s">
        <v>43</v>
      </c>
      <c r="H21" t="s">
        <v>26</v>
      </c>
      <c r="I21" t="s">
        <v>17</v>
      </c>
      <c r="J21" t="s">
        <v>18</v>
      </c>
      <c r="K21" t="s">
        <v>19</v>
      </c>
      <c r="L21" t="s">
        <v>20</v>
      </c>
    </row>
    <row r="22" spans="1:12">
      <c r="A22" t="s">
        <v>56</v>
      </c>
      <c r="B22" s="1" cm="1">
        <f t="array" ref="B22:C22">_xlfn.XLOOKUP(A22,Counterbalances!C22:C196,Counterbalances!D22:E196)</f>
        <v>45700</v>
      </c>
      <c r="C22" t="str">
        <v>child</v>
      </c>
      <c r="D22">
        <v>20</v>
      </c>
      <c r="E22" t="s">
        <v>22</v>
      </c>
      <c r="F22" t="s">
        <v>14</v>
      </c>
      <c r="G22" t="s">
        <v>25</v>
      </c>
      <c r="H22" t="s">
        <v>46</v>
      </c>
      <c r="I22" t="s">
        <v>17</v>
      </c>
      <c r="J22" t="s">
        <v>18</v>
      </c>
      <c r="K22" t="s">
        <v>19</v>
      </c>
      <c r="L22" t="s">
        <v>27</v>
      </c>
    </row>
    <row r="23" spans="1:12">
      <c r="A23" t="s">
        <v>57</v>
      </c>
      <c r="B23" s="1" cm="1">
        <f t="array" ref="B23:C23">_xlfn.XLOOKUP(A23,Counterbalances!C23:C197,Counterbalances!D23:E197)</f>
        <v>45700</v>
      </c>
      <c r="C23" t="str">
        <v>peer</v>
      </c>
      <c r="D23">
        <v>19</v>
      </c>
      <c r="E23" t="s">
        <v>13</v>
      </c>
      <c r="F23" t="s">
        <v>14</v>
      </c>
      <c r="G23" t="s">
        <v>25</v>
      </c>
      <c r="H23" t="s">
        <v>58</v>
      </c>
      <c r="I23" t="s">
        <v>17</v>
      </c>
      <c r="J23" t="s">
        <v>18</v>
      </c>
      <c r="K23" t="s">
        <v>19</v>
      </c>
      <c r="L23" t="s">
        <v>20</v>
      </c>
    </row>
    <row r="24" spans="1:12">
      <c r="A24" t="s">
        <v>59</v>
      </c>
      <c r="B24" s="1" cm="1">
        <f t="array" ref="B24:C24">_xlfn.XLOOKUP(A24,Counterbalances!C24:C198,Counterbalances!D24:E198)</f>
        <v>45700</v>
      </c>
      <c r="C24" t="str">
        <v>short</v>
      </c>
      <c r="D24">
        <v>19</v>
      </c>
      <c r="E24" t="s">
        <v>13</v>
      </c>
      <c r="F24" t="s">
        <v>14</v>
      </c>
      <c r="G24" t="s">
        <v>15</v>
      </c>
      <c r="H24" t="s">
        <v>58</v>
      </c>
      <c r="I24" t="s">
        <v>17</v>
      </c>
      <c r="J24" t="s">
        <v>18</v>
      </c>
      <c r="K24" t="s">
        <v>19</v>
      </c>
      <c r="L24" t="s">
        <v>47</v>
      </c>
    </row>
    <row r="25" spans="1:12">
      <c r="A25" t="s">
        <v>60</v>
      </c>
      <c r="B25" s="1" cm="1">
        <f t="array" ref="B25:C25">_xlfn.XLOOKUP(A25,Counterbalances!C25:C199,Counterbalances!D25:E199)</f>
        <v>45700</v>
      </c>
      <c r="C25" t="str">
        <v>short</v>
      </c>
      <c r="D25">
        <v>19</v>
      </c>
      <c r="E25" t="s">
        <v>22</v>
      </c>
      <c r="F25" t="s">
        <v>14</v>
      </c>
      <c r="G25" t="s">
        <v>25</v>
      </c>
      <c r="H25" t="s">
        <v>26</v>
      </c>
      <c r="I25" t="s">
        <v>17</v>
      </c>
      <c r="J25" t="s">
        <v>18</v>
      </c>
      <c r="K25" t="s">
        <v>19</v>
      </c>
      <c r="L25" t="s">
        <v>40</v>
      </c>
    </row>
    <row r="26" spans="1:12">
      <c r="A26" t="s">
        <v>61</v>
      </c>
      <c r="B26" s="1" cm="1">
        <f t="array" ref="B26:C26">_xlfn.XLOOKUP(A26,Counterbalances!C26:C200,Counterbalances!D26:E200)</f>
        <v>45700</v>
      </c>
      <c r="C26" t="str">
        <v>creative</v>
      </c>
      <c r="D26">
        <v>20</v>
      </c>
      <c r="E26" t="s">
        <v>13</v>
      </c>
      <c r="F26" t="s">
        <v>14</v>
      </c>
      <c r="G26" t="s">
        <v>23</v>
      </c>
      <c r="H26" t="s">
        <v>26</v>
      </c>
      <c r="I26" t="s">
        <v>17</v>
      </c>
      <c r="J26" t="s">
        <v>18</v>
      </c>
      <c r="K26" t="s">
        <v>19</v>
      </c>
      <c r="L26" t="s">
        <v>20</v>
      </c>
    </row>
    <row r="27" spans="1:12">
      <c r="A27" t="s">
        <v>62</v>
      </c>
      <c r="B27" s="1" cm="1">
        <f t="array" ref="B27:C27">_xlfn.XLOOKUP(A27,Counterbalances!C27:C201,Counterbalances!D27:E201)</f>
        <v>45700</v>
      </c>
      <c r="C27" t="str">
        <v>child</v>
      </c>
      <c r="D27">
        <v>18</v>
      </c>
      <c r="E27" t="s">
        <v>22</v>
      </c>
      <c r="F27" t="s">
        <v>14</v>
      </c>
      <c r="G27" t="s">
        <v>25</v>
      </c>
      <c r="H27" t="s">
        <v>63</v>
      </c>
      <c r="I27" t="s">
        <v>17</v>
      </c>
      <c r="J27" t="s">
        <v>18</v>
      </c>
      <c r="K27" t="s">
        <v>18</v>
      </c>
      <c r="L27" t="s">
        <v>27</v>
      </c>
    </row>
    <row r="28" spans="1:12">
      <c r="A28" t="s">
        <v>64</v>
      </c>
      <c r="B28" s="1" cm="1">
        <f t="array" ref="B28:C28">_xlfn.XLOOKUP(A28,Counterbalances!C28:C202,Counterbalances!D28:E202)</f>
        <v>45700</v>
      </c>
      <c r="C28" t="str">
        <v>child</v>
      </c>
      <c r="D28">
        <v>19</v>
      </c>
      <c r="E28" t="s">
        <v>13</v>
      </c>
      <c r="F28" t="s">
        <v>14</v>
      </c>
      <c r="G28" t="s">
        <v>23</v>
      </c>
      <c r="H28" t="s">
        <v>26</v>
      </c>
      <c r="I28" t="s">
        <v>34</v>
      </c>
      <c r="J28" t="s">
        <v>18</v>
      </c>
      <c r="K28" t="s">
        <v>19</v>
      </c>
      <c r="L28" t="s">
        <v>31</v>
      </c>
    </row>
    <row r="29" spans="1:12">
      <c r="A29" t="s">
        <v>65</v>
      </c>
      <c r="B29" s="1" cm="1">
        <f t="array" ref="B29:C29">_xlfn.XLOOKUP(A29,Counterbalances!C29:C203,Counterbalances!D29:E203)</f>
        <v>45701</v>
      </c>
      <c r="C29" t="str">
        <v>peer</v>
      </c>
      <c r="D29">
        <v>20</v>
      </c>
      <c r="E29" t="s">
        <v>22</v>
      </c>
      <c r="F29" t="s">
        <v>14</v>
      </c>
      <c r="G29" t="s">
        <v>23</v>
      </c>
      <c r="H29" t="s">
        <v>16</v>
      </c>
      <c r="I29" t="s">
        <v>17</v>
      </c>
      <c r="J29" t="s">
        <v>18</v>
      </c>
      <c r="K29" t="s">
        <v>18</v>
      </c>
      <c r="L29" t="s">
        <v>27</v>
      </c>
    </row>
    <row r="30" spans="1:12">
      <c r="A30" t="s">
        <v>66</v>
      </c>
      <c r="B30" s="1" cm="1">
        <f t="array" ref="B30:C30">_xlfn.XLOOKUP(A30,Counterbalances!C30:C204,Counterbalances!D30:E204)</f>
        <v>45701</v>
      </c>
      <c r="C30" t="str">
        <v>peer</v>
      </c>
      <c r="D30">
        <v>22</v>
      </c>
      <c r="E30" t="s">
        <v>13</v>
      </c>
      <c r="F30" t="s">
        <v>67</v>
      </c>
      <c r="G30" t="s">
        <v>30</v>
      </c>
      <c r="H30" t="s">
        <v>26</v>
      </c>
      <c r="I30" t="s">
        <v>17</v>
      </c>
      <c r="J30" t="s">
        <v>18</v>
      </c>
      <c r="K30" t="s">
        <v>18</v>
      </c>
      <c r="L30" t="s">
        <v>27</v>
      </c>
    </row>
    <row r="31" spans="1:12">
      <c r="A31" t="s">
        <v>68</v>
      </c>
      <c r="B31" s="1" cm="1">
        <f t="array" ref="B31:C31">_xlfn.XLOOKUP(A31,Counterbalances!C31:C205,Counterbalances!D31:E205)</f>
        <v>45701</v>
      </c>
      <c r="C31" t="str">
        <v>short</v>
      </c>
      <c r="D31">
        <v>18</v>
      </c>
      <c r="E31" t="s">
        <v>13</v>
      </c>
      <c r="F31" t="s">
        <v>14</v>
      </c>
      <c r="G31" t="s">
        <v>30</v>
      </c>
      <c r="H31" t="s">
        <v>26</v>
      </c>
      <c r="I31" t="s">
        <v>17</v>
      </c>
      <c r="J31" t="s">
        <v>18</v>
      </c>
      <c r="K31" t="s">
        <v>19</v>
      </c>
      <c r="L31" t="s">
        <v>31</v>
      </c>
    </row>
    <row r="32" spans="1:12">
      <c r="A32" t="s">
        <v>69</v>
      </c>
      <c r="B32" s="1" cm="1">
        <f t="array" ref="B32:C32">_xlfn.XLOOKUP(A32,Counterbalances!C32:C206,Counterbalances!D32:E206)</f>
        <v>45701</v>
      </c>
      <c r="C32" t="str">
        <v>short</v>
      </c>
      <c r="D32">
        <v>19</v>
      </c>
      <c r="E32" t="s">
        <v>22</v>
      </c>
      <c r="F32" t="s">
        <v>14</v>
      </c>
      <c r="G32" t="s">
        <v>30</v>
      </c>
      <c r="H32" t="s">
        <v>26</v>
      </c>
      <c r="I32" t="s">
        <v>17</v>
      </c>
      <c r="J32" t="s">
        <v>18</v>
      </c>
      <c r="K32" t="s">
        <v>19</v>
      </c>
      <c r="L32" t="s">
        <v>31</v>
      </c>
    </row>
    <row r="33" spans="1:12">
      <c r="A33" t="s">
        <v>70</v>
      </c>
      <c r="B33" s="1" cm="1">
        <f t="array" ref="B33:C33">_xlfn.XLOOKUP(A33,Counterbalances!C33:C207,Counterbalances!D33:E207)</f>
        <v>45702</v>
      </c>
      <c r="C33" t="str">
        <v>creative</v>
      </c>
      <c r="D33">
        <v>18</v>
      </c>
      <c r="E33" t="s">
        <v>22</v>
      </c>
      <c r="F33" t="s">
        <v>14</v>
      </c>
      <c r="G33" t="s">
        <v>43</v>
      </c>
      <c r="H33" t="s">
        <v>16</v>
      </c>
      <c r="I33" t="s">
        <v>17</v>
      </c>
      <c r="J33" t="s">
        <v>18</v>
      </c>
      <c r="K33" t="s">
        <v>19</v>
      </c>
      <c r="L33" t="s">
        <v>20</v>
      </c>
    </row>
    <row r="34" spans="1:12">
      <c r="A34" t="s">
        <v>71</v>
      </c>
      <c r="B34" s="1" cm="1">
        <f t="array" ref="B34:C34">_xlfn.XLOOKUP(A34,Counterbalances!C34:C208,Counterbalances!D34:E208)</f>
        <v>45702</v>
      </c>
      <c r="C34" t="str">
        <v>child</v>
      </c>
      <c r="D34">
        <v>19</v>
      </c>
      <c r="E34" t="s">
        <v>13</v>
      </c>
      <c r="F34" t="s">
        <v>14</v>
      </c>
      <c r="G34" t="s">
        <v>25</v>
      </c>
      <c r="H34" t="s">
        <v>49</v>
      </c>
      <c r="I34" t="s">
        <v>34</v>
      </c>
      <c r="J34" t="s">
        <v>18</v>
      </c>
      <c r="K34" t="s">
        <v>19</v>
      </c>
      <c r="L34" t="s">
        <v>40</v>
      </c>
    </row>
    <row r="35" spans="1:12">
      <c r="A35" t="s">
        <v>72</v>
      </c>
      <c r="B35" s="1" cm="1">
        <f t="array" ref="B35:C35">_xlfn.XLOOKUP(A35,Counterbalances!C35:C209,Counterbalances!D35:E209)</f>
        <v>45702</v>
      </c>
      <c r="C35" t="str">
        <v>peer</v>
      </c>
      <c r="D35">
        <v>19</v>
      </c>
      <c r="E35" t="s">
        <v>13</v>
      </c>
      <c r="F35" t="s">
        <v>14</v>
      </c>
      <c r="G35" t="s">
        <v>43</v>
      </c>
      <c r="H35" t="s">
        <v>49</v>
      </c>
      <c r="I35" t="s">
        <v>17</v>
      </c>
      <c r="J35" t="s">
        <v>18</v>
      </c>
      <c r="K35" t="s">
        <v>19</v>
      </c>
      <c r="L35" t="s">
        <v>27</v>
      </c>
    </row>
    <row r="36" spans="1:12">
      <c r="A36" t="s">
        <v>73</v>
      </c>
      <c r="B36" s="1" cm="1">
        <f t="array" ref="B36:C36">_xlfn.XLOOKUP(A36,Counterbalances!C36:C210,Counterbalances!D36:E210)</f>
        <v>45702</v>
      </c>
      <c r="C36" t="str">
        <v>short</v>
      </c>
      <c r="D36">
        <v>22</v>
      </c>
      <c r="E36" t="s">
        <v>13</v>
      </c>
      <c r="F36" t="s">
        <v>14</v>
      </c>
      <c r="G36" t="s">
        <v>43</v>
      </c>
      <c r="H36" t="s">
        <v>16</v>
      </c>
      <c r="I36" t="s">
        <v>17</v>
      </c>
      <c r="J36" t="s">
        <v>18</v>
      </c>
      <c r="K36" t="s">
        <v>19</v>
      </c>
      <c r="L36" t="s">
        <v>20</v>
      </c>
    </row>
    <row r="37" spans="1:12">
      <c r="A37" t="s">
        <v>74</v>
      </c>
      <c r="B37" s="1" cm="1">
        <f t="array" ref="B37:C37">_xlfn.XLOOKUP(A37,Counterbalances!C37:C211,Counterbalances!D37:E211)</f>
        <v>45702</v>
      </c>
      <c r="C37" t="str">
        <v>short</v>
      </c>
      <c r="D37">
        <v>22</v>
      </c>
      <c r="E37" t="s">
        <v>13</v>
      </c>
      <c r="F37" t="s">
        <v>67</v>
      </c>
      <c r="G37" t="s">
        <v>43</v>
      </c>
      <c r="H37" t="s">
        <v>75</v>
      </c>
      <c r="I37" t="s">
        <v>34</v>
      </c>
      <c r="J37" t="s">
        <v>18</v>
      </c>
      <c r="K37" t="s">
        <v>19</v>
      </c>
      <c r="L37" t="s">
        <v>40</v>
      </c>
    </row>
    <row r="38" spans="1:12">
      <c r="A38" t="s">
        <v>76</v>
      </c>
      <c r="B38" s="1" cm="1">
        <f t="array" ref="B38:C38">_xlfn.XLOOKUP(A38,Counterbalances!C38:C212,Counterbalances!D38:E212)</f>
        <v>45702</v>
      </c>
      <c r="C38" t="str">
        <v>creative</v>
      </c>
      <c r="D38">
        <v>19</v>
      </c>
      <c r="E38" t="s">
        <v>13</v>
      </c>
      <c r="F38" t="s">
        <v>14</v>
      </c>
      <c r="G38" t="s">
        <v>23</v>
      </c>
      <c r="H38" t="s">
        <v>16</v>
      </c>
      <c r="I38" t="s">
        <v>17</v>
      </c>
      <c r="J38" t="s">
        <v>18</v>
      </c>
      <c r="K38" t="s">
        <v>19</v>
      </c>
      <c r="L38" t="s">
        <v>27</v>
      </c>
    </row>
    <row r="39" spans="1:12">
      <c r="A39" t="s">
        <v>77</v>
      </c>
      <c r="B39" s="1" cm="1">
        <f t="array" ref="B39:C39">_xlfn.XLOOKUP(A39,Counterbalances!C39:C213,Counterbalances!D39:E213)</f>
        <v>45702</v>
      </c>
      <c r="C39" t="str">
        <v>child</v>
      </c>
      <c r="D39">
        <v>20</v>
      </c>
      <c r="E39" t="s">
        <v>22</v>
      </c>
      <c r="F39" t="s">
        <v>67</v>
      </c>
      <c r="G39" t="s">
        <v>23</v>
      </c>
      <c r="H39" t="s">
        <v>26</v>
      </c>
      <c r="I39" t="s">
        <v>17</v>
      </c>
      <c r="J39" t="s">
        <v>18</v>
      </c>
      <c r="K39" t="s">
        <v>19</v>
      </c>
      <c r="L39" t="s">
        <v>27</v>
      </c>
    </row>
    <row r="40" spans="1:12">
      <c r="A40" t="s">
        <v>78</v>
      </c>
      <c r="B40" s="1" cm="1">
        <f t="array" ref="B40:C40">_xlfn.XLOOKUP(A40,Counterbalances!C40:C214,Counterbalances!D40:E214)</f>
        <v>45702</v>
      </c>
      <c r="C40" t="str">
        <v>child</v>
      </c>
      <c r="D40">
        <v>20</v>
      </c>
      <c r="E40" t="s">
        <v>13</v>
      </c>
      <c r="F40" t="s">
        <v>14</v>
      </c>
      <c r="G40" t="s">
        <v>23</v>
      </c>
      <c r="H40" t="s">
        <v>26</v>
      </c>
      <c r="I40" t="s">
        <v>17</v>
      </c>
      <c r="J40" t="s">
        <v>18</v>
      </c>
      <c r="K40" t="s">
        <v>19</v>
      </c>
      <c r="L40" t="s">
        <v>20</v>
      </c>
    </row>
    <row r="41" spans="1:12">
      <c r="A41" t="s">
        <v>79</v>
      </c>
      <c r="B41" s="1" cm="1">
        <f t="array" ref="B41:C41">_xlfn.XLOOKUP(A41,Counterbalances!C41:C215,Counterbalances!D41:E215)</f>
        <v>45702</v>
      </c>
      <c r="C41" t="str">
        <v>peer</v>
      </c>
      <c r="D41">
        <v>19</v>
      </c>
      <c r="E41" t="s">
        <v>22</v>
      </c>
      <c r="F41" t="s">
        <v>67</v>
      </c>
      <c r="G41" t="s">
        <v>25</v>
      </c>
      <c r="H41" t="s">
        <v>26</v>
      </c>
      <c r="I41" t="s">
        <v>17</v>
      </c>
      <c r="J41" t="s">
        <v>18</v>
      </c>
      <c r="K41" t="s">
        <v>19</v>
      </c>
      <c r="L41" t="s">
        <v>40</v>
      </c>
    </row>
    <row r="42" spans="1:12">
      <c r="A42" t="s">
        <v>80</v>
      </c>
      <c r="B42" s="1" cm="1">
        <f t="array" ref="B42:C42">_xlfn.XLOOKUP(A42,Counterbalances!C42:C216,Counterbalances!D42:E216)</f>
        <v>45702</v>
      </c>
      <c r="C42" t="str">
        <v>short</v>
      </c>
      <c r="D42">
        <v>19</v>
      </c>
      <c r="E42" t="s">
        <v>13</v>
      </c>
      <c r="F42" t="s">
        <v>14</v>
      </c>
      <c r="H42" t="s">
        <v>26</v>
      </c>
      <c r="I42" t="s">
        <v>75</v>
      </c>
      <c r="J42" t="s">
        <v>18</v>
      </c>
      <c r="K42" t="s">
        <v>18</v>
      </c>
      <c r="L42" t="s">
        <v>27</v>
      </c>
    </row>
    <row r="43" spans="1:12">
      <c r="A43" t="s">
        <v>81</v>
      </c>
      <c r="B43" s="1" cm="1">
        <f t="array" ref="B43:C43">_xlfn.XLOOKUP(A43,Counterbalances!C43:C217,Counterbalances!D43:E217)</f>
        <v>45702</v>
      </c>
      <c r="C43" t="str">
        <v>short</v>
      </c>
      <c r="D43">
        <v>21</v>
      </c>
      <c r="E43" t="s">
        <v>13</v>
      </c>
      <c r="F43" t="s">
        <v>67</v>
      </c>
      <c r="G43" t="s">
        <v>30</v>
      </c>
      <c r="H43" t="s">
        <v>26</v>
      </c>
      <c r="I43" t="s">
        <v>34</v>
      </c>
      <c r="J43" t="s">
        <v>18</v>
      </c>
      <c r="K43" t="s">
        <v>18</v>
      </c>
      <c r="L43" t="s">
        <v>50</v>
      </c>
    </row>
    <row r="44" spans="1:12">
      <c r="A44" t="s">
        <v>82</v>
      </c>
      <c r="B44" s="1" cm="1">
        <f t="array" ref="B44:C44">_xlfn.XLOOKUP(A44,Counterbalances!C44:C218,Counterbalances!D44:E218)</f>
        <v>45705</v>
      </c>
      <c r="C44" t="str">
        <v>child</v>
      </c>
      <c r="D44">
        <v>20</v>
      </c>
      <c r="E44" t="s">
        <v>13</v>
      </c>
      <c r="F44" t="s">
        <v>14</v>
      </c>
      <c r="G44" t="s">
        <v>15</v>
      </c>
      <c r="H44" t="s">
        <v>46</v>
      </c>
      <c r="I44" t="s">
        <v>17</v>
      </c>
      <c r="J44" t="s">
        <v>18</v>
      </c>
      <c r="K44" t="s">
        <v>18</v>
      </c>
      <c r="L44" t="s">
        <v>27</v>
      </c>
    </row>
    <row r="45" spans="1:12">
      <c r="A45" t="s">
        <v>83</v>
      </c>
      <c r="B45" s="1" cm="1">
        <f t="array" ref="B45:C45">_xlfn.XLOOKUP(A45,Counterbalances!C45:C219,Counterbalances!D45:E219)</f>
        <v>45705</v>
      </c>
      <c r="C45" t="str">
        <v>child</v>
      </c>
      <c r="D45">
        <v>19</v>
      </c>
      <c r="E45" t="s">
        <v>22</v>
      </c>
      <c r="F45" t="s">
        <v>14</v>
      </c>
      <c r="G45" t="s">
        <v>25</v>
      </c>
      <c r="H45" t="s">
        <v>49</v>
      </c>
      <c r="I45" t="s">
        <v>34</v>
      </c>
      <c r="J45" t="s">
        <v>18</v>
      </c>
      <c r="K45" t="s">
        <v>19</v>
      </c>
      <c r="L45" t="s">
        <v>40</v>
      </c>
    </row>
    <row r="46" spans="1:12">
      <c r="A46" t="s">
        <v>84</v>
      </c>
      <c r="B46" s="1" cm="1">
        <f t="array" ref="B46:C46">_xlfn.XLOOKUP(A46,Counterbalances!C46:C220,Counterbalances!D46:E220)</f>
        <v>45705</v>
      </c>
      <c r="C46" t="str">
        <v>peer</v>
      </c>
      <c r="D46">
        <v>20</v>
      </c>
      <c r="E46" t="s">
        <v>22</v>
      </c>
      <c r="F46" t="s">
        <v>14</v>
      </c>
      <c r="G46" t="s">
        <v>25</v>
      </c>
      <c r="H46" t="s">
        <v>26</v>
      </c>
      <c r="I46" t="s">
        <v>17</v>
      </c>
      <c r="J46" t="s">
        <v>18</v>
      </c>
      <c r="K46" t="s">
        <v>18</v>
      </c>
      <c r="L46" t="s">
        <v>50</v>
      </c>
    </row>
    <row r="47" spans="1:12">
      <c r="A47" t="s">
        <v>85</v>
      </c>
      <c r="B47" s="1" cm="1">
        <f t="array" ref="B47:C47">_xlfn.XLOOKUP(A47,Counterbalances!C47:C221,Counterbalances!D47:E221)</f>
        <v>45705</v>
      </c>
      <c r="C47" t="str">
        <v>peer</v>
      </c>
      <c r="D47">
        <v>18</v>
      </c>
      <c r="E47" t="s">
        <v>13</v>
      </c>
      <c r="F47" t="s">
        <v>14</v>
      </c>
      <c r="G47" t="s">
        <v>30</v>
      </c>
      <c r="H47" t="s">
        <v>16</v>
      </c>
      <c r="I47" t="s">
        <v>17</v>
      </c>
      <c r="J47" t="s">
        <v>18</v>
      </c>
      <c r="K47" t="s">
        <v>19</v>
      </c>
      <c r="L47" t="s">
        <v>27</v>
      </c>
    </row>
    <row r="48" spans="1:12">
      <c r="A48" t="s">
        <v>86</v>
      </c>
      <c r="B48" s="1" cm="1">
        <f t="array" ref="B48:C48">_xlfn.XLOOKUP(A48,Counterbalances!C48:C222,Counterbalances!D48:E222)</f>
        <v>45706</v>
      </c>
      <c r="C48" t="str">
        <v>short</v>
      </c>
      <c r="D48">
        <v>18</v>
      </c>
      <c r="E48" t="s">
        <v>13</v>
      </c>
      <c r="F48" t="s">
        <v>14</v>
      </c>
      <c r="G48" t="s">
        <v>25</v>
      </c>
      <c r="H48" t="s">
        <v>26</v>
      </c>
      <c r="I48" t="s">
        <v>17</v>
      </c>
      <c r="J48" t="s">
        <v>18</v>
      </c>
      <c r="K48" t="s">
        <v>19</v>
      </c>
      <c r="L48" t="s">
        <v>20</v>
      </c>
    </row>
    <row r="49" spans="1:12">
      <c r="A49" t="s">
        <v>87</v>
      </c>
      <c r="B49" s="1" cm="1">
        <f t="array" ref="B49:C49">_xlfn.XLOOKUP(A49,Counterbalances!C49:C223,Counterbalances!D49:E223)</f>
        <v>45706</v>
      </c>
      <c r="C49" t="str">
        <v>short</v>
      </c>
      <c r="D49">
        <v>19</v>
      </c>
      <c r="E49" t="s">
        <v>22</v>
      </c>
      <c r="F49" t="s">
        <v>14</v>
      </c>
      <c r="G49" t="s">
        <v>25</v>
      </c>
      <c r="H49" t="s">
        <v>16</v>
      </c>
      <c r="I49" t="s">
        <v>17</v>
      </c>
      <c r="J49" t="s">
        <v>18</v>
      </c>
      <c r="K49" t="s">
        <v>19</v>
      </c>
      <c r="L49" t="s">
        <v>27</v>
      </c>
    </row>
    <row r="50" spans="1:12">
      <c r="A50" t="s">
        <v>88</v>
      </c>
      <c r="B50" s="1" cm="1">
        <f t="array" ref="B50:C50">_xlfn.XLOOKUP(A50,Counterbalances!C50:C224,Counterbalances!D50:E224)</f>
        <v>45706</v>
      </c>
      <c r="C50" t="str">
        <v>creative</v>
      </c>
      <c r="D50">
        <v>19</v>
      </c>
      <c r="E50" t="s">
        <v>22</v>
      </c>
      <c r="F50" t="s">
        <v>14</v>
      </c>
      <c r="G50" t="s">
        <v>30</v>
      </c>
      <c r="H50" t="s">
        <v>16</v>
      </c>
      <c r="I50" t="s">
        <v>17</v>
      </c>
      <c r="J50" t="s">
        <v>18</v>
      </c>
      <c r="K50" t="s">
        <v>19</v>
      </c>
      <c r="L50" t="s">
        <v>27</v>
      </c>
    </row>
    <row r="51" spans="1:12">
      <c r="A51" t="s">
        <v>89</v>
      </c>
      <c r="B51" s="1" cm="1">
        <f t="array" ref="B51:C51">_xlfn.XLOOKUP(A51,Counterbalances!C51:C225,Counterbalances!D51:E225)</f>
        <v>45706</v>
      </c>
      <c r="C51" t="str">
        <v>creative</v>
      </c>
      <c r="D51">
        <v>20</v>
      </c>
      <c r="E51" t="s">
        <v>13</v>
      </c>
      <c r="F51" t="s">
        <v>14</v>
      </c>
      <c r="G51" t="s">
        <v>30</v>
      </c>
      <c r="H51" t="s">
        <v>16</v>
      </c>
      <c r="I51" t="s">
        <v>17</v>
      </c>
      <c r="J51" t="s">
        <v>18</v>
      </c>
      <c r="K51" t="s">
        <v>18</v>
      </c>
      <c r="L51" t="s">
        <v>27</v>
      </c>
    </row>
    <row r="52" spans="1:12">
      <c r="A52" t="s">
        <v>90</v>
      </c>
      <c r="B52" s="1" cm="1">
        <f t="array" ref="B52:C52">_xlfn.XLOOKUP(A52,Counterbalances!C52:C226,Counterbalances!D52:E226)</f>
        <v>45707</v>
      </c>
      <c r="C52" t="str">
        <v>child</v>
      </c>
      <c r="D52">
        <v>20</v>
      </c>
      <c r="E52" t="s">
        <v>22</v>
      </c>
      <c r="F52" t="s">
        <v>14</v>
      </c>
      <c r="G52" t="s">
        <v>23</v>
      </c>
      <c r="H52" t="s">
        <v>26</v>
      </c>
      <c r="I52" t="s">
        <v>17</v>
      </c>
      <c r="J52" t="s">
        <v>18</v>
      </c>
      <c r="K52" t="s">
        <v>19</v>
      </c>
      <c r="L52" t="s">
        <v>31</v>
      </c>
    </row>
    <row r="53" spans="1:12">
      <c r="A53" t="s">
        <v>91</v>
      </c>
      <c r="B53" s="1" cm="1">
        <f t="array" ref="B53:C53">_xlfn.XLOOKUP(A53,Counterbalances!C53:C227,Counterbalances!D53:E227)</f>
        <v>45707</v>
      </c>
      <c r="C53" t="str">
        <v>child</v>
      </c>
      <c r="D53">
        <v>19</v>
      </c>
      <c r="E53" t="s">
        <v>22</v>
      </c>
      <c r="F53" t="s">
        <v>14</v>
      </c>
      <c r="G53" t="s">
        <v>25</v>
      </c>
      <c r="H53" t="s">
        <v>16</v>
      </c>
      <c r="I53" t="s">
        <v>34</v>
      </c>
      <c r="J53" t="s">
        <v>18</v>
      </c>
      <c r="K53" t="s">
        <v>19</v>
      </c>
      <c r="L53" t="s">
        <v>27</v>
      </c>
    </row>
    <row r="54" spans="1:12">
      <c r="A54" t="s">
        <v>92</v>
      </c>
      <c r="B54" s="1" cm="1">
        <f t="array" ref="B54:C54">_xlfn.XLOOKUP(A54,Counterbalances!C54:C228,Counterbalances!D54:E228)</f>
        <v>45707</v>
      </c>
      <c r="C54" t="str">
        <v>short</v>
      </c>
      <c r="D54">
        <v>19</v>
      </c>
      <c r="E54" t="s">
        <v>13</v>
      </c>
      <c r="F54" t="s">
        <v>67</v>
      </c>
      <c r="G54" t="s">
        <v>25</v>
      </c>
      <c r="H54" t="s">
        <v>46</v>
      </c>
      <c r="I54" t="s">
        <v>17</v>
      </c>
      <c r="J54" t="s">
        <v>18</v>
      </c>
      <c r="K54" t="s">
        <v>19</v>
      </c>
      <c r="L54" t="s">
        <v>27</v>
      </c>
    </row>
    <row r="55" spans="1:12">
      <c r="A55" t="s">
        <v>93</v>
      </c>
      <c r="B55" s="1" cm="1">
        <f t="array" ref="B55:C55">_xlfn.XLOOKUP(A55,Counterbalances!C55:C229,Counterbalances!D55:E229)</f>
        <v>45707</v>
      </c>
      <c r="C55" t="str">
        <v>creative</v>
      </c>
      <c r="D55">
        <v>19</v>
      </c>
      <c r="E55" t="s">
        <v>13</v>
      </c>
      <c r="F55" t="s">
        <v>67</v>
      </c>
      <c r="G55" t="s">
        <v>25</v>
      </c>
      <c r="H55" t="s">
        <v>26</v>
      </c>
      <c r="I55" t="s">
        <v>17</v>
      </c>
      <c r="J55" t="s">
        <v>18</v>
      </c>
      <c r="K55" t="s">
        <v>18</v>
      </c>
      <c r="L55" t="s">
        <v>50</v>
      </c>
    </row>
    <row r="56" spans="1:12">
      <c r="A56" t="s">
        <v>94</v>
      </c>
      <c r="B56" s="1" cm="1">
        <f t="array" ref="B56:C56">_xlfn.XLOOKUP(A56,Counterbalances!C56:C230,Counterbalances!D56:E230)</f>
        <v>45707</v>
      </c>
      <c r="C56" t="str">
        <v>creative</v>
      </c>
      <c r="D56">
        <v>19</v>
      </c>
      <c r="E56" t="s">
        <v>13</v>
      </c>
      <c r="F56" t="s">
        <v>14</v>
      </c>
      <c r="G56" t="s">
        <v>25</v>
      </c>
      <c r="H56" t="s">
        <v>26</v>
      </c>
      <c r="I56" t="s">
        <v>17</v>
      </c>
      <c r="J56" t="s">
        <v>18</v>
      </c>
      <c r="K56" t="s">
        <v>19</v>
      </c>
      <c r="L56" t="s">
        <v>20</v>
      </c>
    </row>
    <row r="57" spans="1:12">
      <c r="A57" t="s">
        <v>95</v>
      </c>
      <c r="B57" s="1" cm="1">
        <f t="array" ref="B57:C57">_xlfn.XLOOKUP(A57,Counterbalances!C57:C231,Counterbalances!D57:E231)</f>
        <v>45707</v>
      </c>
      <c r="C57" t="str">
        <v>peer</v>
      </c>
      <c r="D57">
        <v>19</v>
      </c>
      <c r="E57" t="s">
        <v>13</v>
      </c>
      <c r="F57" t="s">
        <v>67</v>
      </c>
      <c r="G57" t="s">
        <v>25</v>
      </c>
      <c r="H57" t="s">
        <v>26</v>
      </c>
      <c r="I57" t="s">
        <v>17</v>
      </c>
      <c r="J57" t="s">
        <v>18</v>
      </c>
      <c r="K57" t="s">
        <v>19</v>
      </c>
      <c r="L57" t="s">
        <v>20</v>
      </c>
    </row>
    <row r="58" spans="1:12">
      <c r="A58" t="s">
        <v>96</v>
      </c>
      <c r="B58" s="1" cm="1">
        <f t="array" ref="B58:C58">_xlfn.XLOOKUP(A58,Counterbalances!C58:C232,Counterbalances!D58:E232)</f>
        <v>45707</v>
      </c>
      <c r="C58" t="str">
        <v>peer</v>
      </c>
      <c r="D58">
        <v>19</v>
      </c>
      <c r="E58" t="s">
        <v>22</v>
      </c>
      <c r="F58" t="s">
        <v>14</v>
      </c>
      <c r="G58" t="s">
        <v>43</v>
      </c>
      <c r="H58" t="s">
        <v>16</v>
      </c>
      <c r="I58" t="s">
        <v>17</v>
      </c>
      <c r="J58" t="s">
        <v>18</v>
      </c>
      <c r="K58" t="s">
        <v>19</v>
      </c>
      <c r="L58" t="s">
        <v>20</v>
      </c>
    </row>
    <row r="59" spans="1:12">
      <c r="A59" t="s">
        <v>97</v>
      </c>
      <c r="B59" s="1" cm="1">
        <f t="array" ref="B59:C59">_xlfn.XLOOKUP(A59,Counterbalances!C59:C233,Counterbalances!D59:E233)</f>
        <v>45707</v>
      </c>
      <c r="C59" t="str">
        <v>short</v>
      </c>
      <c r="D59">
        <v>18</v>
      </c>
      <c r="E59" t="s">
        <v>13</v>
      </c>
      <c r="F59" t="s">
        <v>14</v>
      </c>
      <c r="G59" t="s">
        <v>15</v>
      </c>
      <c r="H59" t="s">
        <v>16</v>
      </c>
      <c r="I59" t="s">
        <v>17</v>
      </c>
      <c r="J59" t="s">
        <v>18</v>
      </c>
      <c r="K59" t="s">
        <v>19</v>
      </c>
      <c r="L59" t="s">
        <v>27</v>
      </c>
    </row>
    <row r="60" spans="1:12">
      <c r="A60" t="s">
        <v>98</v>
      </c>
      <c r="B60" s="1" cm="1">
        <f t="array" ref="B60:C60">_xlfn.XLOOKUP(A60,Counterbalances!C60:C234,Counterbalances!D60:E234)</f>
        <v>45707</v>
      </c>
      <c r="C60" t="str">
        <v>short</v>
      </c>
      <c r="D60">
        <v>19</v>
      </c>
      <c r="E60" t="s">
        <v>13</v>
      </c>
      <c r="F60" t="s">
        <v>14</v>
      </c>
      <c r="G60" t="s">
        <v>25</v>
      </c>
      <c r="H60" t="s">
        <v>26</v>
      </c>
      <c r="I60" t="s">
        <v>17</v>
      </c>
      <c r="J60" t="s">
        <v>18</v>
      </c>
      <c r="K60" t="s">
        <v>19</v>
      </c>
      <c r="L60" t="s">
        <v>20</v>
      </c>
    </row>
    <row r="61" spans="1:12">
      <c r="A61" t="s">
        <v>99</v>
      </c>
      <c r="B61" s="1" cm="1">
        <f t="array" ref="B61:C61">_xlfn.XLOOKUP(A61,Counterbalances!C61:C235,Counterbalances!D61:E235)</f>
        <v>45707</v>
      </c>
      <c r="C61" t="str">
        <v>creative</v>
      </c>
      <c r="D61">
        <v>19</v>
      </c>
      <c r="E61" t="s">
        <v>13</v>
      </c>
      <c r="F61" t="s">
        <v>14</v>
      </c>
      <c r="G61" t="s">
        <v>15</v>
      </c>
      <c r="H61" t="s">
        <v>16</v>
      </c>
      <c r="I61" t="s">
        <v>17</v>
      </c>
      <c r="J61" t="s">
        <v>18</v>
      </c>
      <c r="K61" t="s">
        <v>19</v>
      </c>
      <c r="L61" t="s">
        <v>31</v>
      </c>
    </row>
    <row r="62" spans="1:12">
      <c r="A62" t="s">
        <v>100</v>
      </c>
      <c r="B62" s="1" cm="1">
        <f t="array" ref="B62:C62">_xlfn.XLOOKUP(A62,Counterbalances!C62:C236,Counterbalances!D62:E236)</f>
        <v>45708</v>
      </c>
      <c r="C62" t="str">
        <v>child</v>
      </c>
      <c r="D62">
        <v>19</v>
      </c>
      <c r="E62" t="s">
        <v>22</v>
      </c>
      <c r="F62" t="s">
        <v>14</v>
      </c>
      <c r="G62" t="s">
        <v>23</v>
      </c>
      <c r="H62" t="s">
        <v>16</v>
      </c>
      <c r="I62" t="s">
        <v>17</v>
      </c>
      <c r="J62" t="s">
        <v>18</v>
      </c>
      <c r="K62" t="s">
        <v>18</v>
      </c>
      <c r="L62" t="s">
        <v>40</v>
      </c>
    </row>
    <row r="63" spans="1:12">
      <c r="A63" t="s">
        <v>101</v>
      </c>
      <c r="B63" s="1" cm="1">
        <f t="array" ref="B63:C63">_xlfn.XLOOKUP(A63,Counterbalances!C63:C237,Counterbalances!D63:E237)</f>
        <v>45708</v>
      </c>
      <c r="C63" t="str">
        <v>child</v>
      </c>
      <c r="D63">
        <v>18</v>
      </c>
      <c r="E63" t="s">
        <v>13</v>
      </c>
      <c r="F63" t="s">
        <v>14</v>
      </c>
      <c r="G63" t="s">
        <v>43</v>
      </c>
      <c r="H63" t="s">
        <v>16</v>
      </c>
      <c r="I63" t="s">
        <v>17</v>
      </c>
      <c r="J63" t="s">
        <v>18</v>
      </c>
      <c r="K63" t="s">
        <v>19</v>
      </c>
      <c r="L63" t="s">
        <v>31</v>
      </c>
    </row>
    <row r="64" spans="1:12">
      <c r="A64" t="s">
        <v>102</v>
      </c>
      <c r="B64" s="1" cm="1">
        <f t="array" ref="B64:C64">_xlfn.XLOOKUP(A64,Counterbalances!C64:C238,Counterbalances!D64:E238)</f>
        <v>45708</v>
      </c>
      <c r="C64" t="str">
        <v>peer</v>
      </c>
      <c r="D64">
        <v>18</v>
      </c>
      <c r="E64" t="s">
        <v>13</v>
      </c>
      <c r="F64" t="s">
        <v>14</v>
      </c>
      <c r="G64" t="s">
        <v>103</v>
      </c>
      <c r="H64" t="s">
        <v>16</v>
      </c>
      <c r="I64" t="s">
        <v>17</v>
      </c>
      <c r="J64" t="s">
        <v>18</v>
      </c>
      <c r="K64" t="s">
        <v>19</v>
      </c>
      <c r="L64" t="s">
        <v>31</v>
      </c>
    </row>
    <row r="65" spans="1:12">
      <c r="A65" t="s">
        <v>104</v>
      </c>
      <c r="B65" s="1" cm="1">
        <f t="array" ref="B65:C65">_xlfn.XLOOKUP(A65,Counterbalances!C65:C239,Counterbalances!D65:E239)</f>
        <v>45709</v>
      </c>
      <c r="C65" t="str">
        <v>short</v>
      </c>
      <c r="D65">
        <v>18</v>
      </c>
      <c r="E65" t="s">
        <v>13</v>
      </c>
      <c r="F65" t="s">
        <v>67</v>
      </c>
      <c r="G65" t="s">
        <v>25</v>
      </c>
      <c r="H65" t="s">
        <v>16</v>
      </c>
      <c r="I65" t="s">
        <v>34</v>
      </c>
      <c r="J65" t="s">
        <v>18</v>
      </c>
      <c r="K65" t="s">
        <v>18</v>
      </c>
      <c r="L65" t="s">
        <v>50</v>
      </c>
    </row>
    <row r="66" spans="1:12">
      <c r="A66" t="s">
        <v>105</v>
      </c>
      <c r="B66" s="1" cm="1">
        <f t="array" ref="B66:C66">_xlfn.XLOOKUP(A66,Counterbalances!C66:C240,Counterbalances!D66:E240)</f>
        <v>45709</v>
      </c>
      <c r="C66" t="str">
        <v>creative</v>
      </c>
      <c r="D66">
        <v>20</v>
      </c>
      <c r="E66" t="s">
        <v>13</v>
      </c>
      <c r="F66" t="s">
        <v>14</v>
      </c>
      <c r="G66" t="s">
        <v>30</v>
      </c>
      <c r="H66" t="s">
        <v>58</v>
      </c>
      <c r="I66" t="s">
        <v>17</v>
      </c>
      <c r="J66" t="s">
        <v>18</v>
      </c>
      <c r="K66" t="s">
        <v>19</v>
      </c>
      <c r="L66" t="s">
        <v>47</v>
      </c>
    </row>
    <row r="67" spans="1:12">
      <c r="A67" t="s">
        <v>106</v>
      </c>
      <c r="B67" s="1" cm="1">
        <f t="array" ref="B67:C67">_xlfn.XLOOKUP(A67,Counterbalances!C67:C241,Counterbalances!D67:E241)</f>
        <v>45709</v>
      </c>
      <c r="C67" t="str">
        <v>child</v>
      </c>
      <c r="D67">
        <v>19</v>
      </c>
      <c r="E67" t="s">
        <v>13</v>
      </c>
      <c r="F67" t="s">
        <v>14</v>
      </c>
      <c r="G67" t="s">
        <v>25</v>
      </c>
      <c r="H67" t="s">
        <v>26</v>
      </c>
      <c r="I67" t="s">
        <v>17</v>
      </c>
      <c r="J67" t="s">
        <v>18</v>
      </c>
      <c r="K67" t="s">
        <v>19</v>
      </c>
      <c r="L67" t="s">
        <v>20</v>
      </c>
    </row>
    <row r="68" spans="1:12">
      <c r="A68" t="s">
        <v>107</v>
      </c>
      <c r="B68" s="1" cm="1">
        <f t="array" ref="B68:C68">_xlfn.XLOOKUP(A68,Counterbalances!C68:C242,Counterbalances!D68:E242)</f>
        <v>45709</v>
      </c>
      <c r="C68" t="str">
        <v>child</v>
      </c>
      <c r="D68">
        <v>18</v>
      </c>
      <c r="E68" t="s">
        <v>22</v>
      </c>
      <c r="F68" t="s">
        <v>14</v>
      </c>
      <c r="G68" t="s">
        <v>43</v>
      </c>
      <c r="H68" t="s">
        <v>46</v>
      </c>
      <c r="I68" t="s">
        <v>17</v>
      </c>
      <c r="J68" t="s">
        <v>18</v>
      </c>
      <c r="K68" t="s">
        <v>19</v>
      </c>
      <c r="L68" t="s">
        <v>40</v>
      </c>
    </row>
    <row r="69" spans="1:12">
      <c r="A69" t="s">
        <v>108</v>
      </c>
      <c r="B69" s="1" cm="1">
        <f t="array" ref="B69:C69">_xlfn.XLOOKUP(A69,Counterbalances!C69:C243,Counterbalances!D69:E243)</f>
        <v>45709</v>
      </c>
      <c r="C69" t="str">
        <v>peer</v>
      </c>
      <c r="D69">
        <v>19</v>
      </c>
      <c r="E69" t="s">
        <v>13</v>
      </c>
      <c r="F69" t="s">
        <v>67</v>
      </c>
      <c r="G69" t="s">
        <v>23</v>
      </c>
      <c r="H69" t="s">
        <v>26</v>
      </c>
      <c r="I69" t="s">
        <v>17</v>
      </c>
      <c r="J69" t="s">
        <v>18</v>
      </c>
      <c r="K69" t="s">
        <v>18</v>
      </c>
      <c r="L69" t="s">
        <v>27</v>
      </c>
    </row>
    <row r="70" spans="1:12">
      <c r="A70" t="s">
        <v>109</v>
      </c>
      <c r="B70" s="1" cm="1">
        <f t="array" ref="B70:C70">_xlfn.XLOOKUP(A70,Counterbalances!C70:C244,Counterbalances!D70:E244)</f>
        <v>45709</v>
      </c>
      <c r="C70" t="str">
        <v>short</v>
      </c>
      <c r="D70">
        <v>18</v>
      </c>
      <c r="E70" t="s">
        <v>22</v>
      </c>
      <c r="F70" t="s">
        <v>14</v>
      </c>
      <c r="G70" t="s">
        <v>23</v>
      </c>
      <c r="H70" t="s">
        <v>26</v>
      </c>
      <c r="I70" t="s">
        <v>17</v>
      </c>
      <c r="J70" t="s">
        <v>18</v>
      </c>
      <c r="K70" t="s">
        <v>19</v>
      </c>
      <c r="L70" t="s">
        <v>27</v>
      </c>
    </row>
    <row r="71" spans="1:12">
      <c r="A71" t="s">
        <v>110</v>
      </c>
      <c r="B71" s="1" cm="1">
        <f t="array" ref="B71:C71">_xlfn.XLOOKUP(A71,Counterbalances!C71:C245,Counterbalances!D71:E245)</f>
        <v>45709</v>
      </c>
      <c r="C71" t="str">
        <v>creative</v>
      </c>
      <c r="D71">
        <v>18</v>
      </c>
      <c r="E71" t="s">
        <v>13</v>
      </c>
      <c r="F71" t="s">
        <v>14</v>
      </c>
      <c r="G71" t="s">
        <v>23</v>
      </c>
      <c r="H71" t="s">
        <v>26</v>
      </c>
      <c r="I71" t="s">
        <v>17</v>
      </c>
      <c r="J71" t="s">
        <v>18</v>
      </c>
      <c r="K71" t="s">
        <v>19</v>
      </c>
      <c r="L71" t="s">
        <v>20</v>
      </c>
    </row>
    <row r="72" spans="1:12">
      <c r="A72" t="s">
        <v>111</v>
      </c>
      <c r="B72" s="1" cm="1">
        <f t="array" ref="B72:C72">_xlfn.XLOOKUP(A72,Counterbalances!C72:C246,Counterbalances!D72:E246)</f>
        <v>45709</v>
      </c>
      <c r="C72" t="str">
        <v>creative</v>
      </c>
      <c r="D72">
        <v>22</v>
      </c>
      <c r="E72" t="s">
        <v>13</v>
      </c>
      <c r="F72" t="s">
        <v>67</v>
      </c>
      <c r="G72" t="s">
        <v>30</v>
      </c>
      <c r="H72" t="s">
        <v>26</v>
      </c>
      <c r="I72" t="s">
        <v>17</v>
      </c>
      <c r="J72" t="s">
        <v>18</v>
      </c>
      <c r="K72" t="s">
        <v>19</v>
      </c>
      <c r="L72" t="s">
        <v>31</v>
      </c>
    </row>
    <row r="73" spans="1:12">
      <c r="A73" t="s">
        <v>112</v>
      </c>
      <c r="B73" s="1" cm="1">
        <f t="array" ref="B73:C73">_xlfn.XLOOKUP(A73,Counterbalances!C73:C247,Counterbalances!D73:E247)</f>
        <v>45709</v>
      </c>
      <c r="C73" t="str">
        <v>child</v>
      </c>
      <c r="D73">
        <v>18</v>
      </c>
      <c r="E73" t="s">
        <v>22</v>
      </c>
      <c r="F73" t="s">
        <v>14</v>
      </c>
      <c r="G73" t="s">
        <v>25</v>
      </c>
      <c r="H73" t="s">
        <v>26</v>
      </c>
      <c r="I73" t="s">
        <v>17</v>
      </c>
      <c r="J73" t="s">
        <v>18</v>
      </c>
      <c r="K73" t="s">
        <v>19</v>
      </c>
      <c r="L73" t="s">
        <v>27</v>
      </c>
    </row>
    <row r="74" spans="1:12">
      <c r="A74" t="s">
        <v>113</v>
      </c>
      <c r="B74" s="1" cm="1">
        <f t="array" ref="B74:C74">_xlfn.XLOOKUP(A74,Counterbalances!C74:C248,Counterbalances!D74:E248)</f>
        <v>45709</v>
      </c>
      <c r="C74" t="str">
        <v>peer</v>
      </c>
      <c r="D74">
        <v>18</v>
      </c>
      <c r="E74" t="s">
        <v>13</v>
      </c>
      <c r="F74" t="s">
        <v>14</v>
      </c>
      <c r="G74" t="s">
        <v>15</v>
      </c>
      <c r="H74" t="s">
        <v>26</v>
      </c>
      <c r="I74" t="s">
        <v>17</v>
      </c>
      <c r="J74" t="s">
        <v>18</v>
      </c>
      <c r="K74" t="s">
        <v>19</v>
      </c>
      <c r="L74" t="s">
        <v>20</v>
      </c>
    </row>
    <row r="75" spans="1:12">
      <c r="A75" t="s">
        <v>114</v>
      </c>
      <c r="B75" s="1" cm="1">
        <f t="array" ref="B75:C75">_xlfn.XLOOKUP(A75,Counterbalances!C75:C249,Counterbalances!D75:E249)</f>
        <v>45709</v>
      </c>
      <c r="C75" t="str">
        <v>short</v>
      </c>
      <c r="D75">
        <v>19</v>
      </c>
      <c r="E75" t="s">
        <v>13</v>
      </c>
      <c r="F75" t="s">
        <v>67</v>
      </c>
      <c r="G75" t="s">
        <v>43</v>
      </c>
      <c r="H75" t="s">
        <v>26</v>
      </c>
      <c r="I75" t="s">
        <v>17</v>
      </c>
      <c r="J75" t="s">
        <v>18</v>
      </c>
      <c r="K75" t="s">
        <v>19</v>
      </c>
      <c r="L75" t="s">
        <v>27</v>
      </c>
    </row>
    <row r="76" spans="1:12">
      <c r="A76" t="s">
        <v>115</v>
      </c>
      <c r="B76" s="1" cm="1">
        <f t="array" ref="B76:C76">_xlfn.XLOOKUP(A76,Counterbalances!C76:C250,Counterbalances!D76:E250)</f>
        <v>45709</v>
      </c>
      <c r="C76" t="str">
        <v>short</v>
      </c>
      <c r="D76">
        <v>20</v>
      </c>
      <c r="E76" t="s">
        <v>13</v>
      </c>
      <c r="F76" t="s">
        <v>14</v>
      </c>
      <c r="G76" t="s">
        <v>30</v>
      </c>
      <c r="H76" t="s">
        <v>16</v>
      </c>
      <c r="I76" t="s">
        <v>17</v>
      </c>
      <c r="J76" t="s">
        <v>18</v>
      </c>
      <c r="K76" t="s">
        <v>19</v>
      </c>
      <c r="L76" t="s">
        <v>31</v>
      </c>
    </row>
    <row r="77" spans="1:12">
      <c r="A77" t="s">
        <v>116</v>
      </c>
      <c r="B77" s="1" cm="1">
        <f t="array" ref="B77:C77">_xlfn.XLOOKUP(A77,Counterbalances!C77:C251,Counterbalances!D77:E251)</f>
        <v>45713</v>
      </c>
      <c r="C77" t="str">
        <v>creative</v>
      </c>
      <c r="D77">
        <v>18</v>
      </c>
      <c r="E77" t="s">
        <v>13</v>
      </c>
      <c r="F77" t="s">
        <v>14</v>
      </c>
      <c r="G77" t="s">
        <v>23</v>
      </c>
      <c r="H77" t="s">
        <v>26</v>
      </c>
      <c r="I77" t="s">
        <v>17</v>
      </c>
      <c r="J77" t="s">
        <v>18</v>
      </c>
      <c r="K77" t="s">
        <v>19</v>
      </c>
      <c r="L77" t="s">
        <v>20</v>
      </c>
    </row>
    <row r="78" spans="1:12">
      <c r="A78" t="s">
        <v>117</v>
      </c>
      <c r="B78" s="1" cm="1">
        <f t="array" ref="B78:C78">_xlfn.XLOOKUP(A78,Counterbalances!C78:C252,Counterbalances!D78:E252)</f>
        <v>45713</v>
      </c>
      <c r="C78" t="str">
        <v>creative</v>
      </c>
      <c r="D78">
        <v>18</v>
      </c>
      <c r="E78" t="s">
        <v>13</v>
      </c>
      <c r="F78" t="s">
        <v>14</v>
      </c>
      <c r="G78" t="s">
        <v>25</v>
      </c>
      <c r="H78" t="s">
        <v>26</v>
      </c>
      <c r="I78" t="s">
        <v>17</v>
      </c>
      <c r="J78" t="s">
        <v>18</v>
      </c>
      <c r="K78" t="s">
        <v>19</v>
      </c>
      <c r="L78" t="s">
        <v>27</v>
      </c>
    </row>
    <row r="79" spans="1:12">
      <c r="A79" t="s">
        <v>118</v>
      </c>
      <c r="B79" s="1" cm="1">
        <f t="array" ref="B79:C79">_xlfn.XLOOKUP(A79,Counterbalances!C79:C253,Counterbalances!D79:E253)</f>
        <v>45713</v>
      </c>
      <c r="C79" t="str">
        <v>child</v>
      </c>
      <c r="D79">
        <v>21</v>
      </c>
      <c r="E79" t="s">
        <v>22</v>
      </c>
      <c r="F79" t="s">
        <v>14</v>
      </c>
      <c r="G79" t="s">
        <v>23</v>
      </c>
      <c r="H79" t="s">
        <v>26</v>
      </c>
      <c r="I79" t="s">
        <v>34</v>
      </c>
      <c r="J79" t="s">
        <v>18</v>
      </c>
      <c r="K79" t="s">
        <v>19</v>
      </c>
      <c r="L79" t="s">
        <v>27</v>
      </c>
    </row>
    <row r="80" spans="1:12">
      <c r="A80" t="s">
        <v>119</v>
      </c>
      <c r="B80" s="1" cm="1">
        <f t="array" ref="B80:C80">_xlfn.XLOOKUP(A80,Counterbalances!C80:C254,Counterbalances!D80:E254)</f>
        <v>45713</v>
      </c>
      <c r="C80" t="str">
        <v>child</v>
      </c>
      <c r="D80">
        <v>18</v>
      </c>
      <c r="E80" t="s">
        <v>22</v>
      </c>
      <c r="F80" t="s">
        <v>14</v>
      </c>
      <c r="G80" t="s">
        <v>15</v>
      </c>
      <c r="H80" t="s">
        <v>26</v>
      </c>
      <c r="I80" t="s">
        <v>17</v>
      </c>
      <c r="J80" t="s">
        <v>18</v>
      </c>
      <c r="K80" t="s">
        <v>19</v>
      </c>
      <c r="L80" t="s">
        <v>27</v>
      </c>
    </row>
    <row r="81" spans="1:12">
      <c r="A81" t="s">
        <v>120</v>
      </c>
      <c r="B81" s="1" cm="1">
        <f t="array" ref="B81:C81">_xlfn.XLOOKUP(A81,Counterbalances!C81:C255,Counterbalances!D81:E255)</f>
        <v>45713</v>
      </c>
      <c r="C81" t="str">
        <v>peer</v>
      </c>
      <c r="D81">
        <v>19</v>
      </c>
      <c r="E81" t="s">
        <v>13</v>
      </c>
      <c r="F81" t="s">
        <v>67</v>
      </c>
      <c r="G81" t="s">
        <v>23</v>
      </c>
      <c r="H81" t="s">
        <v>26</v>
      </c>
      <c r="I81" t="s">
        <v>17</v>
      </c>
      <c r="J81" t="s">
        <v>18</v>
      </c>
      <c r="K81" t="s">
        <v>19</v>
      </c>
      <c r="L81" t="s">
        <v>27</v>
      </c>
    </row>
    <row r="82" spans="1:12">
      <c r="A82" t="s">
        <v>121</v>
      </c>
      <c r="B82" s="1" cm="1">
        <f t="array" ref="B82:C82">_xlfn.XLOOKUP(A82,Counterbalances!C82:C256,Counterbalances!D82:E256)</f>
        <v>45713</v>
      </c>
      <c r="C82" t="str">
        <v>short</v>
      </c>
      <c r="D82">
        <v>18</v>
      </c>
      <c r="E82" t="s">
        <v>13</v>
      </c>
      <c r="F82" t="s">
        <v>67</v>
      </c>
      <c r="G82" t="s">
        <v>23</v>
      </c>
      <c r="H82" t="s">
        <v>26</v>
      </c>
      <c r="I82" t="s">
        <v>17</v>
      </c>
      <c r="J82" t="s">
        <v>18</v>
      </c>
      <c r="K82" t="s">
        <v>19</v>
      </c>
      <c r="L82" t="s">
        <v>20</v>
      </c>
    </row>
    <row r="83" spans="1:12">
      <c r="A83" t="s">
        <v>122</v>
      </c>
      <c r="B83" s="1" cm="1">
        <f t="array" ref="B83:C83">_xlfn.XLOOKUP(A83,Counterbalances!C83:C257,Counterbalances!D83:E257)</f>
        <v>45713</v>
      </c>
      <c r="C83" t="str">
        <v>short</v>
      </c>
      <c r="D83">
        <v>18</v>
      </c>
      <c r="E83" t="s">
        <v>13</v>
      </c>
      <c r="F83" t="s">
        <v>14</v>
      </c>
      <c r="G83" t="s">
        <v>15</v>
      </c>
      <c r="H83" t="s">
        <v>123</v>
      </c>
      <c r="I83" t="s">
        <v>34</v>
      </c>
      <c r="J83" t="s">
        <v>18</v>
      </c>
      <c r="K83" t="s">
        <v>19</v>
      </c>
      <c r="L83" t="s">
        <v>27</v>
      </c>
    </row>
    <row r="84" spans="1:12">
      <c r="A84" t="s">
        <v>124</v>
      </c>
      <c r="B84" s="1" cm="1">
        <f t="array" ref="B84:C84">_xlfn.XLOOKUP(A84,Counterbalances!C84:C258,Counterbalances!D84:E258)</f>
        <v>45713</v>
      </c>
      <c r="C84" t="str">
        <v>creative</v>
      </c>
      <c r="D84">
        <v>18</v>
      </c>
      <c r="E84" t="s">
        <v>22</v>
      </c>
      <c r="F84" t="s">
        <v>67</v>
      </c>
      <c r="H84" t="s">
        <v>46</v>
      </c>
      <c r="I84" t="s">
        <v>17</v>
      </c>
      <c r="J84" t="s">
        <v>18</v>
      </c>
      <c r="K84" t="s">
        <v>19</v>
      </c>
      <c r="L84" t="s">
        <v>27</v>
      </c>
    </row>
    <row r="85" spans="1:12">
      <c r="A85" t="s">
        <v>125</v>
      </c>
      <c r="B85" s="1" cm="1">
        <f t="array" ref="B85:C85">_xlfn.XLOOKUP(A85,Counterbalances!C85:C259,Counterbalances!D85:E259)</f>
        <v>45713</v>
      </c>
      <c r="C85" t="str">
        <v>creative</v>
      </c>
      <c r="D85">
        <v>20</v>
      </c>
      <c r="E85" t="s">
        <v>13</v>
      </c>
      <c r="F85" t="s">
        <v>67</v>
      </c>
      <c r="G85" t="s">
        <v>25</v>
      </c>
      <c r="H85" t="s">
        <v>26</v>
      </c>
      <c r="I85" t="s">
        <v>17</v>
      </c>
      <c r="J85" t="s">
        <v>18</v>
      </c>
      <c r="K85" t="s">
        <v>19</v>
      </c>
      <c r="L85" t="s">
        <v>20</v>
      </c>
    </row>
    <row r="86" spans="1:12">
      <c r="A86" t="s">
        <v>126</v>
      </c>
      <c r="B86" s="1" cm="1">
        <f t="array" ref="B86:C86">_xlfn.XLOOKUP(A86,Counterbalances!C86:C260,Counterbalances!D86:E260)</f>
        <v>45713</v>
      </c>
      <c r="C86" t="str">
        <v>child</v>
      </c>
      <c r="D86">
        <v>18</v>
      </c>
      <c r="E86" t="s">
        <v>13</v>
      </c>
      <c r="F86" t="s">
        <v>14</v>
      </c>
      <c r="G86" t="s">
        <v>23</v>
      </c>
      <c r="H86" t="s">
        <v>26</v>
      </c>
      <c r="I86" t="s">
        <v>17</v>
      </c>
      <c r="J86" t="s">
        <v>18</v>
      </c>
      <c r="K86" t="s">
        <v>19</v>
      </c>
      <c r="L86" t="s">
        <v>20</v>
      </c>
    </row>
    <row r="87" spans="1:12">
      <c r="A87" t="s">
        <v>127</v>
      </c>
      <c r="B87" s="1" cm="1">
        <f t="array" ref="B87:C87">_xlfn.XLOOKUP(A87,Counterbalances!C87:C261,Counterbalances!D87:E261)</f>
        <v>45713</v>
      </c>
      <c r="C87" t="str">
        <v>child</v>
      </c>
      <c r="D87">
        <v>18</v>
      </c>
      <c r="E87" t="s">
        <v>13</v>
      </c>
      <c r="F87" t="s">
        <v>14</v>
      </c>
      <c r="G87" t="s">
        <v>25</v>
      </c>
      <c r="H87" t="s">
        <v>26</v>
      </c>
      <c r="I87" t="s">
        <v>34</v>
      </c>
      <c r="J87" t="s">
        <v>18</v>
      </c>
      <c r="K87" t="s">
        <v>19</v>
      </c>
      <c r="L87" t="s">
        <v>31</v>
      </c>
    </row>
    <row r="88" spans="1:12">
      <c r="A88" t="s">
        <v>128</v>
      </c>
      <c r="B88" s="1" cm="1">
        <f t="array" ref="B88:C88">_xlfn.XLOOKUP(A88,Counterbalances!C88:C262,Counterbalances!D88:E262)</f>
        <v>45714</v>
      </c>
      <c r="C88" t="str">
        <v>peer</v>
      </c>
      <c r="D88">
        <v>19</v>
      </c>
      <c r="E88" t="s">
        <v>13</v>
      </c>
      <c r="F88" t="s">
        <v>67</v>
      </c>
      <c r="G88" t="s">
        <v>23</v>
      </c>
      <c r="H88" t="s">
        <v>26</v>
      </c>
      <c r="I88" t="s">
        <v>17</v>
      </c>
      <c r="J88" t="s">
        <v>18</v>
      </c>
      <c r="K88" t="s">
        <v>19</v>
      </c>
      <c r="L88" t="s">
        <v>20</v>
      </c>
    </row>
    <row r="89" spans="1:12">
      <c r="A89" t="s">
        <v>129</v>
      </c>
      <c r="B89" s="1" cm="1">
        <f t="array" ref="B89:C89">_xlfn.XLOOKUP(A89,Counterbalances!C89:C263,Counterbalances!D89:E263)</f>
        <v>45714</v>
      </c>
      <c r="C89" t="str">
        <v>short</v>
      </c>
      <c r="D89">
        <v>19</v>
      </c>
      <c r="E89" t="s">
        <v>22</v>
      </c>
      <c r="F89" t="s">
        <v>67</v>
      </c>
      <c r="G89" t="s">
        <v>15</v>
      </c>
      <c r="H89" t="s">
        <v>26</v>
      </c>
      <c r="I89" t="s">
        <v>17</v>
      </c>
      <c r="J89" t="s">
        <v>18</v>
      </c>
      <c r="K89" t="s">
        <v>19</v>
      </c>
      <c r="L89" t="s">
        <v>27</v>
      </c>
    </row>
    <row r="90" spans="1:12">
      <c r="A90" t="s">
        <v>130</v>
      </c>
      <c r="B90" s="1" cm="1">
        <f t="array" ref="B90:C90">_xlfn.XLOOKUP(A90,Counterbalances!C90:C264,Counterbalances!D90:E264)</f>
        <v>45714</v>
      </c>
      <c r="C90" t="str">
        <v>short</v>
      </c>
      <c r="D90">
        <v>20</v>
      </c>
      <c r="E90" t="s">
        <v>13</v>
      </c>
      <c r="F90" t="s">
        <v>14</v>
      </c>
      <c r="G90" t="s">
        <v>25</v>
      </c>
      <c r="H90" t="s">
        <v>26</v>
      </c>
      <c r="I90" t="s">
        <v>17</v>
      </c>
      <c r="J90" t="s">
        <v>18</v>
      </c>
      <c r="K90" t="s">
        <v>19</v>
      </c>
      <c r="L90" t="s">
        <v>20</v>
      </c>
    </row>
    <row r="91" spans="1:12">
      <c r="A91" t="s">
        <v>131</v>
      </c>
      <c r="B91" s="1" cm="1">
        <f t="array" ref="B91:C91">_xlfn.XLOOKUP(A91,Counterbalances!C91:C265,Counterbalances!D91:E265)</f>
        <v>45714</v>
      </c>
      <c r="C91" t="str">
        <v>creative</v>
      </c>
      <c r="D91">
        <v>19</v>
      </c>
      <c r="E91" t="s">
        <v>13</v>
      </c>
      <c r="F91" t="s">
        <v>14</v>
      </c>
      <c r="G91" t="s">
        <v>25</v>
      </c>
      <c r="H91" t="s">
        <v>16</v>
      </c>
      <c r="I91" t="s">
        <v>17</v>
      </c>
      <c r="J91" t="s">
        <v>18</v>
      </c>
      <c r="K91" t="s">
        <v>19</v>
      </c>
      <c r="L91" t="s">
        <v>31</v>
      </c>
    </row>
    <row r="92" spans="1:12">
      <c r="A92" t="s">
        <v>132</v>
      </c>
      <c r="B92" s="1" cm="1">
        <f t="array" ref="B92:C92">_xlfn.XLOOKUP(A92,Counterbalances!C92:C266,Counterbalances!D92:E266)</f>
        <v>45714</v>
      </c>
      <c r="C92" t="str">
        <v>creative</v>
      </c>
      <c r="D92">
        <v>20</v>
      </c>
      <c r="E92" t="s">
        <v>22</v>
      </c>
      <c r="F92" t="s">
        <v>14</v>
      </c>
      <c r="G92" t="s">
        <v>15</v>
      </c>
      <c r="H92" t="s">
        <v>26</v>
      </c>
      <c r="I92" t="s">
        <v>17</v>
      </c>
      <c r="J92" t="s">
        <v>18</v>
      </c>
      <c r="K92" t="s">
        <v>18</v>
      </c>
      <c r="L92" t="s">
        <v>20</v>
      </c>
    </row>
    <row r="93" spans="1:12">
      <c r="A93" t="s">
        <v>133</v>
      </c>
      <c r="B93" s="1" cm="1">
        <f t="array" ref="B93:C93">_xlfn.XLOOKUP(A93,Counterbalances!C93:C267,Counterbalances!D93:E267)</f>
        <v>45714</v>
      </c>
      <c r="C93" t="str">
        <v>child</v>
      </c>
      <c r="D93">
        <v>19</v>
      </c>
      <c r="E93" t="s">
        <v>13</v>
      </c>
      <c r="F93" t="s">
        <v>14</v>
      </c>
      <c r="G93" t="s">
        <v>23</v>
      </c>
      <c r="H93" t="s">
        <v>26</v>
      </c>
      <c r="I93" t="s">
        <v>34</v>
      </c>
      <c r="J93" t="s">
        <v>18</v>
      </c>
      <c r="K93" t="s">
        <v>19</v>
      </c>
      <c r="L93" t="s">
        <v>20</v>
      </c>
    </row>
    <row r="94" spans="1:12">
      <c r="A94" t="s">
        <v>134</v>
      </c>
      <c r="B94" s="1" cm="1">
        <f t="array" ref="B94:C94">_xlfn.XLOOKUP(A94,Counterbalances!C94:C268,Counterbalances!D94:E268)</f>
        <v>45714</v>
      </c>
      <c r="C94" t="str">
        <v>child</v>
      </c>
      <c r="D94">
        <v>19</v>
      </c>
      <c r="E94" t="s">
        <v>22</v>
      </c>
      <c r="F94" t="s">
        <v>14</v>
      </c>
      <c r="G94" t="s">
        <v>15</v>
      </c>
      <c r="H94" t="s">
        <v>26</v>
      </c>
      <c r="I94" t="s">
        <v>17</v>
      </c>
      <c r="J94" t="s">
        <v>18</v>
      </c>
      <c r="K94" t="s">
        <v>19</v>
      </c>
      <c r="L94" t="s">
        <v>27</v>
      </c>
    </row>
    <row r="95" spans="1:12">
      <c r="A95" t="s">
        <v>135</v>
      </c>
      <c r="B95" s="1" cm="1">
        <f t="array" ref="B95:C95">_xlfn.XLOOKUP(A95,Counterbalances!C95:C269,Counterbalances!D95:E269)</f>
        <v>45714</v>
      </c>
      <c r="C95" t="str">
        <v>peer</v>
      </c>
      <c r="D95">
        <v>18</v>
      </c>
      <c r="E95" t="s">
        <v>13</v>
      </c>
      <c r="F95" t="s">
        <v>14</v>
      </c>
      <c r="G95" t="s">
        <v>30</v>
      </c>
      <c r="H95" t="s">
        <v>26</v>
      </c>
      <c r="I95" t="s">
        <v>17</v>
      </c>
      <c r="J95" t="s">
        <v>18</v>
      </c>
      <c r="K95" t="s">
        <v>19</v>
      </c>
      <c r="L95" t="s">
        <v>20</v>
      </c>
    </row>
    <row r="96" spans="1:12">
      <c r="A96" t="s">
        <v>136</v>
      </c>
      <c r="B96" s="1" cm="1">
        <f t="array" ref="B96:C96">_xlfn.XLOOKUP(A96,Counterbalances!C96:C270,Counterbalances!D96:E270)</f>
        <v>45714</v>
      </c>
      <c r="C96" t="str">
        <v>peer</v>
      </c>
      <c r="D96">
        <v>18</v>
      </c>
      <c r="E96" t="s">
        <v>13</v>
      </c>
      <c r="F96" t="s">
        <v>14</v>
      </c>
      <c r="G96" t="s">
        <v>15</v>
      </c>
      <c r="H96" t="s">
        <v>16</v>
      </c>
      <c r="I96" t="s">
        <v>17</v>
      </c>
      <c r="J96" t="s">
        <v>18</v>
      </c>
      <c r="K96" t="s">
        <v>19</v>
      </c>
      <c r="L96" t="s">
        <v>47</v>
      </c>
    </row>
    <row r="97" spans="1:12">
      <c r="A97" t="s">
        <v>137</v>
      </c>
      <c r="B97" s="1" cm="1">
        <f t="array" ref="B97:C97">_xlfn.XLOOKUP(A97,Counterbalances!C97:C271,Counterbalances!D97:E271)</f>
        <v>45714</v>
      </c>
      <c r="C97" t="str">
        <v>short</v>
      </c>
      <c r="D97">
        <v>19</v>
      </c>
      <c r="E97" t="s">
        <v>22</v>
      </c>
      <c r="F97" t="s">
        <v>14</v>
      </c>
      <c r="G97" t="s">
        <v>15</v>
      </c>
      <c r="H97" t="s">
        <v>16</v>
      </c>
      <c r="I97" t="s">
        <v>17</v>
      </c>
      <c r="J97" t="s">
        <v>18</v>
      </c>
      <c r="K97" t="s">
        <v>18</v>
      </c>
      <c r="L97" t="s">
        <v>27</v>
      </c>
    </row>
    <row r="98" spans="1:12">
      <c r="A98" t="s">
        <v>138</v>
      </c>
      <c r="B98" s="1" cm="1">
        <f t="array" ref="B98:C98">_xlfn.XLOOKUP(A98,Counterbalances!C98:C272,Counterbalances!D98:E272)</f>
        <v>45715</v>
      </c>
      <c r="C98" t="str">
        <v>creative</v>
      </c>
      <c r="D98">
        <v>19</v>
      </c>
      <c r="E98" t="s">
        <v>22</v>
      </c>
      <c r="F98" t="s">
        <v>14</v>
      </c>
      <c r="G98" t="s">
        <v>23</v>
      </c>
      <c r="H98" t="s">
        <v>46</v>
      </c>
      <c r="I98" t="s">
        <v>17</v>
      </c>
      <c r="J98" t="s">
        <v>18</v>
      </c>
      <c r="K98" t="s">
        <v>19</v>
      </c>
      <c r="L98" t="s">
        <v>20</v>
      </c>
    </row>
    <row r="99" spans="1:12">
      <c r="A99" t="s">
        <v>139</v>
      </c>
      <c r="B99" s="1" cm="1">
        <f t="array" ref="B99:C99">_xlfn.XLOOKUP(A99,Counterbalances!C99:C273,Counterbalances!D99:E273)</f>
        <v>45715</v>
      </c>
      <c r="C99" t="str">
        <v>child</v>
      </c>
      <c r="D99">
        <v>20</v>
      </c>
      <c r="E99" t="s">
        <v>22</v>
      </c>
      <c r="F99" t="s">
        <v>14</v>
      </c>
      <c r="G99" t="s">
        <v>15</v>
      </c>
      <c r="H99" t="s">
        <v>16</v>
      </c>
      <c r="I99" t="s">
        <v>17</v>
      </c>
      <c r="J99" t="s">
        <v>18</v>
      </c>
      <c r="K99" t="s">
        <v>19</v>
      </c>
      <c r="L99" t="s">
        <v>31</v>
      </c>
    </row>
    <row r="100" spans="1:12">
      <c r="A100" t="s">
        <v>140</v>
      </c>
      <c r="B100" s="1" cm="1">
        <f t="array" ref="B100:C100">_xlfn.XLOOKUP(A100,Counterbalances!C100:C274,Counterbalances!D100:E274)</f>
        <v>45715</v>
      </c>
      <c r="C100" t="str">
        <v>peer</v>
      </c>
      <c r="D100">
        <v>18</v>
      </c>
      <c r="E100" t="s">
        <v>13</v>
      </c>
      <c r="F100" t="s">
        <v>14</v>
      </c>
      <c r="G100" t="s">
        <v>25</v>
      </c>
      <c r="H100" t="s">
        <v>58</v>
      </c>
      <c r="I100" t="s">
        <v>17</v>
      </c>
      <c r="J100" t="s">
        <v>18</v>
      </c>
      <c r="K100" t="s">
        <v>19</v>
      </c>
      <c r="L100" t="s">
        <v>20</v>
      </c>
    </row>
    <row r="101" spans="1:12">
      <c r="A101" t="s">
        <v>141</v>
      </c>
      <c r="B101" s="1" cm="1">
        <f t="array" ref="B101:C101">_xlfn.XLOOKUP(A101,Counterbalances!C101:C275,Counterbalances!D101:E275)</f>
        <v>45727</v>
      </c>
      <c r="C101" t="str">
        <v>peer</v>
      </c>
      <c r="D101">
        <v>18</v>
      </c>
      <c r="E101" t="s">
        <v>13</v>
      </c>
      <c r="F101" t="s">
        <v>14</v>
      </c>
      <c r="H101" t="s">
        <v>16</v>
      </c>
      <c r="I101" t="s">
        <v>17</v>
      </c>
      <c r="J101" t="s">
        <v>18</v>
      </c>
      <c r="K101" t="s">
        <v>19</v>
      </c>
      <c r="L101" t="s">
        <v>47</v>
      </c>
    </row>
    <row r="102" spans="1:12">
      <c r="A102" t="s">
        <v>142</v>
      </c>
      <c r="B102" s="1" cm="1">
        <f t="array" ref="B102:C102">_xlfn.XLOOKUP(A102,Counterbalances!C102:C276,Counterbalances!D102:E276)</f>
        <v>45728</v>
      </c>
      <c r="C102" t="str">
        <v>short</v>
      </c>
      <c r="D102">
        <v>18</v>
      </c>
      <c r="E102" t="s">
        <v>13</v>
      </c>
      <c r="F102" t="s">
        <v>14</v>
      </c>
      <c r="G102" t="s">
        <v>30</v>
      </c>
      <c r="H102" t="s">
        <v>16</v>
      </c>
      <c r="I102" t="s">
        <v>17</v>
      </c>
      <c r="J102" t="s">
        <v>18</v>
      </c>
      <c r="K102" t="s">
        <v>19</v>
      </c>
      <c r="L102" t="s">
        <v>20</v>
      </c>
    </row>
    <row r="103" spans="1:12">
      <c r="A103" t="s">
        <v>143</v>
      </c>
      <c r="B103" s="1" cm="1">
        <f t="array" ref="B103:C103">_xlfn.XLOOKUP(A103,Counterbalances!C103:C277,Counterbalances!D103:E277)</f>
        <v>45729</v>
      </c>
      <c r="C103" t="str">
        <v>child</v>
      </c>
      <c r="D103">
        <v>18</v>
      </c>
      <c r="E103" t="s">
        <v>22</v>
      </c>
      <c r="F103" t="s">
        <v>14</v>
      </c>
      <c r="G103" t="s">
        <v>43</v>
      </c>
      <c r="H103" t="s">
        <v>16</v>
      </c>
      <c r="I103" t="s">
        <v>17</v>
      </c>
      <c r="J103" t="s">
        <v>18</v>
      </c>
      <c r="K103" t="s">
        <v>18</v>
      </c>
      <c r="L103" t="s">
        <v>27</v>
      </c>
    </row>
    <row r="104" spans="1:12">
      <c r="A104" t="s">
        <v>144</v>
      </c>
      <c r="B104" s="1" cm="1">
        <f t="array" ref="B104:C104">_xlfn.XLOOKUP(A104,Counterbalances!C104:C278,Counterbalances!D104:E278)</f>
        <v>45729</v>
      </c>
      <c r="C104" t="str">
        <v>child</v>
      </c>
      <c r="D104">
        <v>20</v>
      </c>
      <c r="E104" t="s">
        <v>22</v>
      </c>
      <c r="F104" t="s">
        <v>14</v>
      </c>
      <c r="G104" t="s">
        <v>43</v>
      </c>
      <c r="H104" t="s">
        <v>26</v>
      </c>
      <c r="I104" t="s">
        <v>17</v>
      </c>
      <c r="J104" t="s">
        <v>18</v>
      </c>
      <c r="K104" t="s">
        <v>19</v>
      </c>
      <c r="L104" t="s">
        <v>27</v>
      </c>
    </row>
    <row r="105" spans="1:12">
      <c r="A105" t="s">
        <v>145</v>
      </c>
      <c r="B105" s="1" cm="1">
        <f t="array" ref="B105:C105">_xlfn.XLOOKUP(A105,Counterbalances!C105:C279,Counterbalances!D105:E279)</f>
        <v>45729</v>
      </c>
      <c r="C105" t="str">
        <v>peer</v>
      </c>
      <c r="D105">
        <v>19</v>
      </c>
      <c r="E105" t="s">
        <v>22</v>
      </c>
      <c r="F105" t="s">
        <v>14</v>
      </c>
      <c r="G105" t="s">
        <v>30</v>
      </c>
      <c r="H105" t="s">
        <v>26</v>
      </c>
      <c r="I105" t="s">
        <v>17</v>
      </c>
      <c r="J105" t="s">
        <v>18</v>
      </c>
      <c r="K105" t="s">
        <v>19</v>
      </c>
      <c r="L105" t="s">
        <v>20</v>
      </c>
    </row>
    <row r="106" spans="1:12">
      <c r="A106" t="s">
        <v>146</v>
      </c>
      <c r="B106" s="1" cm="1">
        <f t="array" ref="B106:C106">_xlfn.XLOOKUP(A106,Counterbalances!C106:C280,Counterbalances!D106:E280)</f>
        <v>45729</v>
      </c>
      <c r="C106" t="str">
        <v>peer</v>
      </c>
      <c r="D106">
        <v>21</v>
      </c>
      <c r="E106" t="s">
        <v>22</v>
      </c>
      <c r="F106" t="s">
        <v>14</v>
      </c>
      <c r="G106" t="s">
        <v>30</v>
      </c>
      <c r="H106" t="s">
        <v>16</v>
      </c>
      <c r="I106" t="s">
        <v>17</v>
      </c>
      <c r="J106" t="s">
        <v>18</v>
      </c>
      <c r="K106" t="s">
        <v>19</v>
      </c>
      <c r="L106" t="s">
        <v>20</v>
      </c>
    </row>
    <row r="107" spans="1:12">
      <c r="A107" t="s">
        <v>147</v>
      </c>
      <c r="B107" s="1" cm="1">
        <f t="array" ref="B107:C107">_xlfn.XLOOKUP(A107,Counterbalances!C107:C281,Counterbalances!D107:E281)</f>
        <v>45730</v>
      </c>
      <c r="C107" t="str">
        <v>peer</v>
      </c>
      <c r="D107">
        <v>22</v>
      </c>
      <c r="E107" t="s">
        <v>13</v>
      </c>
      <c r="F107" t="s">
        <v>14</v>
      </c>
      <c r="G107" t="s">
        <v>23</v>
      </c>
      <c r="H107" t="s">
        <v>26</v>
      </c>
      <c r="I107" t="s">
        <v>17</v>
      </c>
      <c r="J107" t="s">
        <v>18</v>
      </c>
      <c r="K107" t="s">
        <v>19</v>
      </c>
      <c r="L107" t="s">
        <v>20</v>
      </c>
    </row>
    <row r="108" spans="1:12">
      <c r="A108" t="s">
        <v>148</v>
      </c>
      <c r="B108" s="1" cm="1">
        <f t="array" ref="B108:C108">_xlfn.XLOOKUP(A108,Counterbalances!C108:C282,Counterbalances!D108:E282)</f>
        <v>45730</v>
      </c>
      <c r="C108" t="str">
        <v>peer</v>
      </c>
      <c r="D108">
        <v>22</v>
      </c>
      <c r="E108" t="s">
        <v>13</v>
      </c>
      <c r="F108" t="s">
        <v>14</v>
      </c>
      <c r="G108" t="s">
        <v>23</v>
      </c>
      <c r="H108" t="s">
        <v>26</v>
      </c>
      <c r="I108" t="s">
        <v>17</v>
      </c>
      <c r="J108" t="s">
        <v>18</v>
      </c>
      <c r="K108" t="s">
        <v>19</v>
      </c>
      <c r="L108" t="s">
        <v>27</v>
      </c>
    </row>
    <row r="109" spans="1:12">
      <c r="A109" t="s">
        <v>149</v>
      </c>
      <c r="B109" s="1" cm="1">
        <f t="array" ref="B109:C109">_xlfn.XLOOKUP(A109,Counterbalances!C109:C283,Counterbalances!D109:E283)</f>
        <v>45730</v>
      </c>
      <c r="C109" t="str">
        <v>creative</v>
      </c>
      <c r="D109">
        <v>22</v>
      </c>
      <c r="E109" t="s">
        <v>13</v>
      </c>
      <c r="F109" t="s">
        <v>14</v>
      </c>
      <c r="G109" t="s">
        <v>25</v>
      </c>
      <c r="H109" t="s">
        <v>26</v>
      </c>
      <c r="I109" t="s">
        <v>17</v>
      </c>
      <c r="J109" t="s">
        <v>18</v>
      </c>
      <c r="K109" t="s">
        <v>19</v>
      </c>
      <c r="L109" t="s">
        <v>20</v>
      </c>
    </row>
    <row r="110" spans="1:12">
      <c r="A110" t="s">
        <v>150</v>
      </c>
      <c r="B110" s="1" cm="1">
        <f t="array" ref="B110:C110">_xlfn.XLOOKUP(A110,Counterbalances!C110:C284,Counterbalances!D110:E284)</f>
        <v>45730</v>
      </c>
      <c r="C110" t="str">
        <v>creative</v>
      </c>
      <c r="D110">
        <v>19</v>
      </c>
      <c r="E110" t="s">
        <v>13</v>
      </c>
      <c r="F110" t="s">
        <v>14</v>
      </c>
      <c r="G110" t="s">
        <v>43</v>
      </c>
      <c r="H110" t="s">
        <v>16</v>
      </c>
      <c r="I110" t="s">
        <v>17</v>
      </c>
      <c r="J110" t="s">
        <v>18</v>
      </c>
      <c r="K110" t="s">
        <v>19</v>
      </c>
      <c r="L110" t="s">
        <v>20</v>
      </c>
    </row>
    <row r="111" spans="1:12">
      <c r="A111" t="s">
        <v>151</v>
      </c>
      <c r="B111" s="1" cm="1">
        <f t="array" ref="B111:C111">_xlfn.XLOOKUP(A111,Counterbalances!C111:C285,Counterbalances!D111:E285)</f>
        <v>45730</v>
      </c>
      <c r="C111" t="str">
        <v>creative</v>
      </c>
      <c r="D111">
        <v>21</v>
      </c>
      <c r="E111" t="s">
        <v>13</v>
      </c>
      <c r="F111" t="s">
        <v>67</v>
      </c>
      <c r="G111" t="s">
        <v>30</v>
      </c>
      <c r="H111" t="s">
        <v>26</v>
      </c>
      <c r="I111" t="s">
        <v>17</v>
      </c>
      <c r="J111" t="s">
        <v>18</v>
      </c>
      <c r="K111" t="s">
        <v>18</v>
      </c>
      <c r="L111" t="s">
        <v>27</v>
      </c>
    </row>
    <row r="112" spans="1:12">
      <c r="A112" t="s">
        <v>152</v>
      </c>
      <c r="B112" s="1" cm="1">
        <f t="array" ref="B112:C112">_xlfn.XLOOKUP(A112,Counterbalances!C112:C286,Counterbalances!D112:E286)</f>
        <v>45730</v>
      </c>
      <c r="C112" t="str">
        <v>creative</v>
      </c>
      <c r="D112">
        <v>18</v>
      </c>
      <c r="E112" t="s">
        <v>22</v>
      </c>
      <c r="F112" t="s">
        <v>14</v>
      </c>
      <c r="G112" t="s">
        <v>30</v>
      </c>
      <c r="H112" t="s">
        <v>16</v>
      </c>
      <c r="I112" t="s">
        <v>17</v>
      </c>
      <c r="J112" t="s">
        <v>18</v>
      </c>
      <c r="K112" t="s">
        <v>19</v>
      </c>
      <c r="L112" t="s">
        <v>27</v>
      </c>
    </row>
    <row r="113" spans="1:12">
      <c r="A113" t="s">
        <v>153</v>
      </c>
      <c r="B113" s="1" cm="1">
        <f t="array" ref="B113:C113">_xlfn.XLOOKUP(A113,Counterbalances!C113:C287,Counterbalances!D113:E287)</f>
        <v>45730</v>
      </c>
      <c r="C113" t="str">
        <v>peer</v>
      </c>
      <c r="D113">
        <v>21</v>
      </c>
      <c r="E113" t="s">
        <v>13</v>
      </c>
      <c r="F113" t="s">
        <v>14</v>
      </c>
      <c r="G113" t="s">
        <v>23</v>
      </c>
      <c r="H113" t="s">
        <v>58</v>
      </c>
      <c r="I113" t="s">
        <v>34</v>
      </c>
      <c r="J113" t="s">
        <v>18</v>
      </c>
      <c r="K113" t="s">
        <v>18</v>
      </c>
      <c r="L113" t="s">
        <v>27</v>
      </c>
    </row>
    <row r="114" spans="1:12">
      <c r="A114" t="s">
        <v>154</v>
      </c>
      <c r="B114" s="1" cm="1">
        <f t="array" ref="B114:C114">_xlfn.XLOOKUP(A114,Counterbalances!C114:C288,Counterbalances!D114:E288)</f>
        <v>45730</v>
      </c>
      <c r="C114" t="str">
        <v>peer</v>
      </c>
      <c r="D114">
        <v>18</v>
      </c>
      <c r="E114" t="s">
        <v>22</v>
      </c>
      <c r="F114" t="s">
        <v>14</v>
      </c>
      <c r="G114" t="s">
        <v>25</v>
      </c>
      <c r="H114" t="s">
        <v>16</v>
      </c>
      <c r="I114" t="s">
        <v>17</v>
      </c>
      <c r="J114" t="s">
        <v>18</v>
      </c>
      <c r="K114" t="s">
        <v>19</v>
      </c>
      <c r="L114" t="s">
        <v>20</v>
      </c>
    </row>
    <row r="115" spans="1:12">
      <c r="A115" t="s">
        <v>155</v>
      </c>
      <c r="B115" s="1" cm="1">
        <f t="array" ref="B115:C115">_xlfn.XLOOKUP(A115,Counterbalances!C115:C289,Counterbalances!D115:E289)</f>
        <v>45730</v>
      </c>
      <c r="C115" t="str">
        <v>creative</v>
      </c>
      <c r="D115">
        <v>21</v>
      </c>
      <c r="E115" t="s">
        <v>22</v>
      </c>
      <c r="F115" t="s">
        <v>14</v>
      </c>
      <c r="G115" t="s">
        <v>25</v>
      </c>
      <c r="H115" t="s">
        <v>26</v>
      </c>
      <c r="I115" t="s">
        <v>34</v>
      </c>
      <c r="J115" t="s">
        <v>18</v>
      </c>
      <c r="K115" t="s">
        <v>19</v>
      </c>
      <c r="L115" t="s">
        <v>31</v>
      </c>
    </row>
    <row r="116" spans="1:12">
      <c r="A116" t="s">
        <v>156</v>
      </c>
      <c r="B116" s="1" cm="1">
        <f t="array" ref="B116:C116">_xlfn.XLOOKUP(A116,Counterbalances!C116:C290,Counterbalances!D116:E290)</f>
        <v>45730</v>
      </c>
      <c r="C116" t="str">
        <v>peer</v>
      </c>
      <c r="D116">
        <v>19</v>
      </c>
      <c r="E116" t="s">
        <v>22</v>
      </c>
      <c r="F116" t="s">
        <v>14</v>
      </c>
      <c r="G116" t="s">
        <v>15</v>
      </c>
      <c r="H116" t="s">
        <v>16</v>
      </c>
      <c r="I116" t="s">
        <v>17</v>
      </c>
      <c r="J116" t="s">
        <v>18</v>
      </c>
      <c r="K116" t="s">
        <v>19</v>
      </c>
      <c r="L116" t="s">
        <v>31</v>
      </c>
    </row>
    <row r="117" spans="1:12">
      <c r="A117" t="s">
        <v>157</v>
      </c>
      <c r="B117" s="1" cm="1">
        <f t="array" ref="B117:C117">_xlfn.XLOOKUP(A117,Counterbalances!C117:C291,Counterbalances!D117:E291)</f>
        <v>45730</v>
      </c>
      <c r="C117" t="str">
        <v>peer</v>
      </c>
      <c r="D117">
        <v>21</v>
      </c>
      <c r="E117" t="s">
        <v>22</v>
      </c>
      <c r="F117" t="s">
        <v>14</v>
      </c>
      <c r="G117" t="s">
        <v>23</v>
      </c>
      <c r="H117" t="s">
        <v>26</v>
      </c>
      <c r="I117" t="s">
        <v>17</v>
      </c>
      <c r="J117" t="s">
        <v>18</v>
      </c>
      <c r="K117" t="s">
        <v>19</v>
      </c>
      <c r="L117" t="s">
        <v>27</v>
      </c>
    </row>
    <row r="118" spans="1:12">
      <c r="A118" t="s">
        <v>158</v>
      </c>
      <c r="B118" s="1" cm="1">
        <f t="array" ref="B118:C118">_xlfn.XLOOKUP(A118,Counterbalances!C118:C292,Counterbalances!D118:E292)</f>
        <v>45730</v>
      </c>
      <c r="C118" t="str">
        <v>short</v>
      </c>
      <c r="D118">
        <v>20</v>
      </c>
      <c r="E118" t="s">
        <v>13</v>
      </c>
      <c r="F118" t="s">
        <v>14</v>
      </c>
      <c r="G118" t="s">
        <v>30</v>
      </c>
      <c r="H118" t="s">
        <v>16</v>
      </c>
      <c r="I118" t="s">
        <v>17</v>
      </c>
      <c r="J118" t="s">
        <v>18</v>
      </c>
      <c r="K118" t="s">
        <v>19</v>
      </c>
      <c r="L118" t="s">
        <v>47</v>
      </c>
    </row>
    <row r="119" spans="1:12">
      <c r="A119" t="s">
        <v>159</v>
      </c>
      <c r="B119" s="1" cm="1">
        <f t="array" ref="B119:C119">_xlfn.XLOOKUP(A119,Counterbalances!C119:C293,Counterbalances!D119:E293)</f>
        <v>45730</v>
      </c>
      <c r="C119" t="str">
        <v>creative</v>
      </c>
      <c r="D119">
        <v>19</v>
      </c>
      <c r="E119" t="s">
        <v>22</v>
      </c>
      <c r="F119" t="s">
        <v>67</v>
      </c>
      <c r="G119" t="s">
        <v>43</v>
      </c>
      <c r="H119" t="s">
        <v>46</v>
      </c>
      <c r="I119" t="s">
        <v>17</v>
      </c>
      <c r="J119" t="s">
        <v>18</v>
      </c>
      <c r="K119" t="s">
        <v>18</v>
      </c>
      <c r="L119" t="s">
        <v>50</v>
      </c>
    </row>
    <row r="120" spans="1:12">
      <c r="A120" t="s">
        <v>160</v>
      </c>
      <c r="B120" s="1" cm="1">
        <f t="array" ref="B120:C120">_xlfn.XLOOKUP(A120,Counterbalances!C120:C294,Counterbalances!D120:E294)</f>
        <v>45730</v>
      </c>
      <c r="C120" t="str">
        <v>creative</v>
      </c>
      <c r="D120">
        <v>22</v>
      </c>
      <c r="E120" t="s">
        <v>22</v>
      </c>
      <c r="F120" t="s">
        <v>14</v>
      </c>
      <c r="G120" t="s">
        <v>25</v>
      </c>
      <c r="H120" t="s">
        <v>46</v>
      </c>
      <c r="I120" t="s">
        <v>17</v>
      </c>
      <c r="J120" t="s">
        <v>18</v>
      </c>
      <c r="K120" t="s">
        <v>19</v>
      </c>
      <c r="L120" t="s">
        <v>27</v>
      </c>
    </row>
    <row r="121" spans="1:12">
      <c r="A121" t="s">
        <v>161</v>
      </c>
      <c r="B121" s="1" cm="1">
        <f t="array" ref="B121:C121">_xlfn.XLOOKUP(A121,Counterbalances!C121:C295,Counterbalances!D121:E295)</f>
        <v>45730</v>
      </c>
      <c r="C121" t="str">
        <v>peer</v>
      </c>
      <c r="D121">
        <v>18</v>
      </c>
      <c r="E121" t="s">
        <v>13</v>
      </c>
      <c r="F121" t="s">
        <v>14</v>
      </c>
      <c r="G121" t="s">
        <v>25</v>
      </c>
      <c r="H121" t="s">
        <v>26</v>
      </c>
      <c r="I121" t="s">
        <v>17</v>
      </c>
      <c r="J121" t="s">
        <v>18</v>
      </c>
      <c r="K121" t="s">
        <v>18</v>
      </c>
      <c r="L121" t="s">
        <v>27</v>
      </c>
    </row>
    <row r="122" spans="1:12">
      <c r="A122" t="s">
        <v>162</v>
      </c>
      <c r="B122" s="1" cm="1">
        <f t="array" ref="B122:C122">_xlfn.XLOOKUP(A122,Counterbalances!C122:C296,Counterbalances!D122:E296)</f>
        <v>45730</v>
      </c>
      <c r="C122" t="str">
        <v>peer</v>
      </c>
      <c r="D122">
        <v>19</v>
      </c>
      <c r="E122" t="s">
        <v>22</v>
      </c>
      <c r="F122" t="s">
        <v>14</v>
      </c>
      <c r="G122" t="s">
        <v>23</v>
      </c>
      <c r="H122" t="s">
        <v>16</v>
      </c>
      <c r="I122" t="s">
        <v>17</v>
      </c>
      <c r="J122" t="s">
        <v>18</v>
      </c>
      <c r="K122" t="s">
        <v>19</v>
      </c>
      <c r="L122" t="s">
        <v>20</v>
      </c>
    </row>
    <row r="123" spans="1:12">
      <c r="A123" t="s">
        <v>163</v>
      </c>
      <c r="B123" s="1" cm="1">
        <f t="array" ref="B123:C123">_xlfn.XLOOKUP(A123,Counterbalances!C123:C297,Counterbalances!D123:E297)</f>
        <v>45735</v>
      </c>
      <c r="C123" t="str">
        <v>short</v>
      </c>
      <c r="D123">
        <v>19</v>
      </c>
      <c r="E123" t="s">
        <v>13</v>
      </c>
      <c r="F123" t="s">
        <v>14</v>
      </c>
      <c r="G123" t="s">
        <v>23</v>
      </c>
      <c r="H123" t="s">
        <v>26</v>
      </c>
      <c r="I123" t="s">
        <v>17</v>
      </c>
      <c r="J123" t="s">
        <v>18</v>
      </c>
      <c r="K123" t="s">
        <v>19</v>
      </c>
      <c r="L123" t="s">
        <v>20</v>
      </c>
    </row>
    <row r="124" spans="1:12">
      <c r="A124" t="s">
        <v>164</v>
      </c>
      <c r="B124" s="1" cm="1">
        <f t="array" ref="B124:C124">_xlfn.XLOOKUP(A124,Counterbalances!C124:C298,Counterbalances!D124:E298)</f>
        <v>45735</v>
      </c>
      <c r="C124" t="str">
        <v>peer</v>
      </c>
      <c r="D124">
        <v>20</v>
      </c>
      <c r="E124" t="s">
        <v>13</v>
      </c>
      <c r="F124" t="s">
        <v>14</v>
      </c>
      <c r="G124" t="s">
        <v>30</v>
      </c>
      <c r="H124" t="s">
        <v>16</v>
      </c>
      <c r="I124" t="s">
        <v>17</v>
      </c>
      <c r="J124" t="s">
        <v>18</v>
      </c>
      <c r="K124" t="s">
        <v>19</v>
      </c>
      <c r="L124" t="s">
        <v>27</v>
      </c>
    </row>
    <row r="125" spans="1:12">
      <c r="A125" t="s">
        <v>165</v>
      </c>
      <c r="B125" s="1" cm="1">
        <f t="array" ref="B125:C125">_xlfn.XLOOKUP(A125,Counterbalances!C125:C299,Counterbalances!D125:E299)</f>
        <v>45735</v>
      </c>
      <c r="C125" t="str">
        <v>peer</v>
      </c>
      <c r="D125">
        <v>18</v>
      </c>
      <c r="E125" t="s">
        <v>13</v>
      </c>
      <c r="F125" t="s">
        <v>14</v>
      </c>
      <c r="H125" t="s">
        <v>16</v>
      </c>
      <c r="I125" t="s">
        <v>17</v>
      </c>
      <c r="J125" t="s">
        <v>18</v>
      </c>
      <c r="K125" t="s">
        <v>19</v>
      </c>
      <c r="L125" t="s">
        <v>27</v>
      </c>
    </row>
    <row r="126" spans="1:12">
      <c r="A126" t="s">
        <v>166</v>
      </c>
      <c r="B126" s="1" cm="1">
        <f t="array" ref="B126:C126">_xlfn.XLOOKUP(A126,Counterbalances!C126:C300,Counterbalances!D126:E300)</f>
        <v>45735</v>
      </c>
      <c r="C126" t="str">
        <v>child</v>
      </c>
      <c r="D126">
        <v>20</v>
      </c>
      <c r="E126" t="s">
        <v>22</v>
      </c>
      <c r="F126" t="s">
        <v>14</v>
      </c>
      <c r="G126" t="s">
        <v>25</v>
      </c>
      <c r="H126" t="s">
        <v>26</v>
      </c>
      <c r="I126" t="s">
        <v>17</v>
      </c>
      <c r="J126" t="s">
        <v>18</v>
      </c>
      <c r="K126" t="s">
        <v>18</v>
      </c>
      <c r="L126" t="s">
        <v>27</v>
      </c>
    </row>
    <row r="127" spans="1:12">
      <c r="A127" t="s">
        <v>167</v>
      </c>
      <c r="B127" s="1" cm="1">
        <f t="array" ref="B127:C127">_xlfn.XLOOKUP(A127,Counterbalances!C127:C301,Counterbalances!D127:E301)</f>
        <v>45735</v>
      </c>
      <c r="C127" t="str">
        <v>short</v>
      </c>
      <c r="D127">
        <v>22</v>
      </c>
      <c r="E127" t="s">
        <v>13</v>
      </c>
      <c r="F127" t="s">
        <v>14</v>
      </c>
      <c r="G127" t="s">
        <v>30</v>
      </c>
      <c r="H127" t="s">
        <v>16</v>
      </c>
      <c r="I127" t="s">
        <v>17</v>
      </c>
      <c r="J127" t="s">
        <v>18</v>
      </c>
      <c r="K127" t="s">
        <v>19</v>
      </c>
      <c r="L127" t="s">
        <v>27</v>
      </c>
    </row>
    <row r="128" spans="1:12">
      <c r="A128" t="s">
        <v>168</v>
      </c>
      <c r="B128" s="1" cm="1">
        <f t="array" ref="B128:C128">_xlfn.XLOOKUP(A128,Counterbalances!C128:C302,Counterbalances!D128:E302)</f>
        <v>45735</v>
      </c>
      <c r="C128" t="str">
        <v>short</v>
      </c>
      <c r="D128">
        <v>21</v>
      </c>
      <c r="E128" t="s">
        <v>29</v>
      </c>
      <c r="F128" t="s">
        <v>67</v>
      </c>
      <c r="G128" t="s">
        <v>25</v>
      </c>
      <c r="H128" t="s">
        <v>26</v>
      </c>
      <c r="I128" t="s">
        <v>17</v>
      </c>
      <c r="J128" t="s">
        <v>18</v>
      </c>
      <c r="K128" t="s">
        <v>19</v>
      </c>
      <c r="L128" t="s">
        <v>40</v>
      </c>
    </row>
    <row r="129" spans="1:12">
      <c r="A129" t="s">
        <v>169</v>
      </c>
      <c r="B129" s="1" cm="1">
        <f t="array" ref="B129:C129">_xlfn.XLOOKUP(A129,Counterbalances!C129:C303,Counterbalances!D129:E303)</f>
        <v>45735</v>
      </c>
      <c r="C129" t="str">
        <v>creative</v>
      </c>
      <c r="D129">
        <v>19</v>
      </c>
      <c r="E129" t="s">
        <v>13</v>
      </c>
      <c r="F129" t="s">
        <v>14</v>
      </c>
      <c r="H129" t="s">
        <v>26</v>
      </c>
      <c r="I129" t="s">
        <v>17</v>
      </c>
      <c r="J129" t="s">
        <v>18</v>
      </c>
      <c r="K129" t="s">
        <v>19</v>
      </c>
      <c r="L129" t="s">
        <v>20</v>
      </c>
    </row>
    <row r="130" spans="1:12">
      <c r="A130" t="s">
        <v>170</v>
      </c>
      <c r="B130" s="1" cm="1">
        <f t="array" ref="B130:C130">_xlfn.XLOOKUP(A130,Counterbalances!C130:C304,Counterbalances!D130:E304)</f>
        <v>45735</v>
      </c>
      <c r="C130" t="str">
        <v>creative</v>
      </c>
      <c r="D130">
        <v>19</v>
      </c>
      <c r="E130" t="s">
        <v>13</v>
      </c>
      <c r="F130" t="s">
        <v>14</v>
      </c>
      <c r="G130" t="s">
        <v>30</v>
      </c>
      <c r="H130" t="s">
        <v>16</v>
      </c>
      <c r="I130" t="s">
        <v>17</v>
      </c>
      <c r="J130" t="s">
        <v>18</v>
      </c>
      <c r="K130" t="s">
        <v>19</v>
      </c>
      <c r="L130" t="s">
        <v>40</v>
      </c>
    </row>
    <row r="131" spans="1:12">
      <c r="A131" t="s">
        <v>171</v>
      </c>
      <c r="B131" s="1" cm="1">
        <f t="array" ref="B131:C131">_xlfn.XLOOKUP(A131,Counterbalances!C131:C305,Counterbalances!D131:E305)</f>
        <v>45735</v>
      </c>
      <c r="C131" t="str">
        <v>child</v>
      </c>
      <c r="D131">
        <v>21</v>
      </c>
      <c r="E131" t="s">
        <v>29</v>
      </c>
      <c r="F131" t="s">
        <v>67</v>
      </c>
      <c r="G131" t="s">
        <v>25</v>
      </c>
      <c r="H131" t="s">
        <v>26</v>
      </c>
      <c r="I131" t="s">
        <v>17</v>
      </c>
      <c r="J131" t="s">
        <v>18</v>
      </c>
      <c r="K131" t="s">
        <v>19</v>
      </c>
      <c r="L131" t="s">
        <v>40</v>
      </c>
    </row>
    <row r="132" spans="1:12">
      <c r="A132" t="s">
        <v>172</v>
      </c>
      <c r="B132" s="1" cm="1">
        <f t="array" ref="B132:C132">_xlfn.XLOOKUP(A132,Counterbalances!C132:C306,Counterbalances!D132:E306)</f>
        <v>45735</v>
      </c>
      <c r="C132" t="str">
        <v>child</v>
      </c>
      <c r="D132">
        <v>19</v>
      </c>
      <c r="E132" t="s">
        <v>13</v>
      </c>
      <c r="F132" t="s">
        <v>14</v>
      </c>
      <c r="G132" t="s">
        <v>43</v>
      </c>
      <c r="H132" t="s">
        <v>16</v>
      </c>
      <c r="I132" t="s">
        <v>17</v>
      </c>
      <c r="J132" t="s">
        <v>18</v>
      </c>
      <c r="K132" t="s">
        <v>19</v>
      </c>
      <c r="L132" t="s">
        <v>27</v>
      </c>
    </row>
    <row r="133" spans="1:12">
      <c r="A133" t="s">
        <v>173</v>
      </c>
      <c r="B133" s="1" cm="1">
        <f t="array" ref="B133:C133">_xlfn.XLOOKUP(A133,Counterbalances!C133:C307,Counterbalances!D133:E307)</f>
        <v>45736</v>
      </c>
      <c r="C133" t="str">
        <v>child</v>
      </c>
      <c r="D133">
        <v>19</v>
      </c>
      <c r="E133" t="s">
        <v>13</v>
      </c>
      <c r="F133" t="s">
        <v>14</v>
      </c>
      <c r="G133" t="s">
        <v>23</v>
      </c>
      <c r="H133" t="s">
        <v>26</v>
      </c>
      <c r="I133" t="s">
        <v>17</v>
      </c>
      <c r="J133" t="s">
        <v>18</v>
      </c>
      <c r="K133" t="s">
        <v>18</v>
      </c>
      <c r="L133" t="s">
        <v>27</v>
      </c>
    </row>
    <row r="134" spans="1:12">
      <c r="A134" t="s">
        <v>174</v>
      </c>
      <c r="B134" s="1" cm="1">
        <f t="array" ref="B134:C134">_xlfn.XLOOKUP(A134,Counterbalances!C134:C308,Counterbalances!D134:E308)</f>
        <v>45736</v>
      </c>
      <c r="C134" t="str">
        <v>child</v>
      </c>
      <c r="D134">
        <v>22</v>
      </c>
      <c r="E134" t="s">
        <v>13</v>
      </c>
      <c r="F134" t="s">
        <v>14</v>
      </c>
      <c r="G134" t="s">
        <v>23</v>
      </c>
      <c r="H134" t="s">
        <v>26</v>
      </c>
      <c r="I134" t="s">
        <v>34</v>
      </c>
      <c r="J134" t="s">
        <v>18</v>
      </c>
      <c r="K134" t="s">
        <v>19</v>
      </c>
      <c r="L134" t="s">
        <v>20</v>
      </c>
    </row>
    <row r="135" spans="1:12">
      <c r="A135" t="s">
        <v>175</v>
      </c>
      <c r="B135" s="1" cm="1">
        <f t="array" ref="B135:C135">_xlfn.XLOOKUP(A135,Counterbalances!C135:C309,Counterbalances!D135:E309)</f>
        <v>45736</v>
      </c>
      <c r="C135" t="str">
        <v>peer</v>
      </c>
      <c r="D135">
        <v>19</v>
      </c>
      <c r="E135" t="s">
        <v>22</v>
      </c>
      <c r="F135" t="s">
        <v>14</v>
      </c>
      <c r="G135" t="s">
        <v>30</v>
      </c>
      <c r="H135" t="s">
        <v>16</v>
      </c>
      <c r="I135" t="s">
        <v>17</v>
      </c>
      <c r="J135" t="s">
        <v>18</v>
      </c>
      <c r="K135" t="s">
        <v>19</v>
      </c>
      <c r="L135" t="s">
        <v>20</v>
      </c>
    </row>
    <row r="136" spans="1:12">
      <c r="A136" t="s">
        <v>176</v>
      </c>
      <c r="B136" s="1" cm="1">
        <f t="array" ref="B136:C136">_xlfn.XLOOKUP(A136,Counterbalances!C136:C310,Counterbalances!D136:E310)</f>
        <v>45736</v>
      </c>
      <c r="C136" t="str">
        <v>short</v>
      </c>
      <c r="D136">
        <v>19</v>
      </c>
      <c r="E136" t="s">
        <v>13</v>
      </c>
      <c r="F136" t="s">
        <v>14</v>
      </c>
      <c r="G136" t="s">
        <v>15</v>
      </c>
      <c r="H136" t="s">
        <v>16</v>
      </c>
      <c r="I136" t="s">
        <v>17</v>
      </c>
      <c r="J136" t="s">
        <v>18</v>
      </c>
      <c r="K136" t="s">
        <v>19</v>
      </c>
      <c r="L136" t="s">
        <v>27</v>
      </c>
    </row>
  </sheetData>
  <phoneticPr fontId="1" type="noConversion"/>
  <dataValidations count="13">
    <dataValidation type="list" allowBlank="1" showInputMessage="1" showErrorMessage="1" sqref="E2:E136" xr:uid="{246485CC-9A02-497E-A805-F452A7D24865}">
      <formula1>"Less than high school, high school graduate, some college, associates, bachelors, masters, doctoral, professional"</formula1>
    </dataValidation>
    <dataValidation type="list" allowBlank="1" showInputMessage="1" showErrorMessage="1" sqref="G2:G63 G65:G136" xr:uid="{36BC12B0-F4CC-4BFA-9D13-5FD99D6F9589}">
      <formula1>"&lt;20,20 - 40, 40 - 75, 75 - 150, &gt;150"</formula1>
    </dataValidation>
    <dataValidation type="list" allowBlank="1" showInputMessage="1" showErrorMessage="1" sqref="H2:H9 H11:H22 H25:H26 H28:H65 H67:H82 H84:H99 H101:H112 H114:H136" xr:uid="{8060FD38-89C3-4399-BB21-FD6D2201A0C3}">
      <formula1>"white, african-american, asian, native-american, pacific-islander, other, ND"</formula1>
    </dataValidation>
    <dataValidation type="list" allowBlank="1" showInputMessage="1" showErrorMessage="1" sqref="I2:I136" xr:uid="{6224FF40-9AB5-4A2A-A89F-8E2C0ACDE428}">
      <formula1>"hispanic, non-hispanic, ND"</formula1>
    </dataValidation>
    <dataValidation type="list" allowBlank="1" showInputMessage="1" showErrorMessage="1" sqref="K2:K136 J2:J103 J105:J136" xr:uid="{0240076A-317F-4E36-9113-2CD342367939}">
      <formula1>"yes,no"</formula1>
    </dataValidation>
    <dataValidation type="list" allowBlank="1" showInputMessage="1" showErrorMessage="1" sqref="H10" xr:uid="{608F74A6-A2D2-4630-BFA1-FB325A83B8E1}">
      <formula1>"white, white/asian,african-american, asian, native-american, pacific-islander, other, ND"</formula1>
    </dataValidation>
    <dataValidation type="list" allowBlank="1" showInputMessage="1" showErrorMessage="1" sqref="F2:F11 E12 G133 F13:F132 F134:F136" xr:uid="{25D1BB78-748A-494C-9F77-342A70D19427}">
      <formula1>"male, female, other, ND"</formula1>
    </dataValidation>
    <dataValidation type="list" allowBlank="1" showInputMessage="1" showErrorMessage="1" sqref="H23" xr:uid="{1FED8E10-2CD3-4812-9F9E-A718D38C7698}">
      <formula1>"white, african-american, white/african-american, asian, native-american, pacific-islander, other, ND"</formula1>
    </dataValidation>
    <dataValidation type="list" allowBlank="1" showInputMessage="1" showErrorMessage="1" sqref="H24 H66 H100 H113" xr:uid="{9828FEA4-D389-47AD-971B-B1BFE9C53D20}">
      <formula1>"white, white/african-american, african-american, asian, native-american, pacific-islander, other, ND"</formula1>
    </dataValidation>
    <dataValidation type="list" allowBlank="1" showInputMessage="1" showErrorMessage="1" sqref="H27" xr:uid="{BA1F2EFA-75D0-490E-9C18-55CAFE40E52D}">
      <formula1>"white, african-american, african-american/native american, asian, native-american, pacific-islander, other, ND"</formula1>
    </dataValidation>
    <dataValidation type="list" allowBlank="1" showInputMessage="1" showErrorMessage="1" sqref="G64" xr:uid="{83BDBE08-057E-4CA4-86FF-78AB9C114E3A}">
      <formula1>"&lt;20,20 - 40, 20 - 75, 40 - 75, 75 - 150, &gt;150"</formula1>
    </dataValidation>
    <dataValidation type="list" allowBlank="1" showInputMessage="1" showErrorMessage="1" sqref="H83" xr:uid="{6417F8E7-8C10-4002-B29F-40142AB73762}">
      <formula1>"white, african-american, asian, african-american/asian, native-american, pacific-islander, other, ND"</formula1>
    </dataValidation>
    <dataValidation type="list" allowBlank="1" showInputMessage="1" showErrorMessage="1" sqref="L2:L131 L133:L136 M132" xr:uid="{3A6E9794-E12E-405C-8B0E-1B5C8AF8A6DD}">
      <formula1>"daily,few/week,weekly,monthly,rare,never"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16ED-7843-4907-831A-0516E2A751B1}">
  <dimension ref="A1:R177"/>
  <sheetViews>
    <sheetView topLeftCell="A6" workbookViewId="0">
      <selection activeCell="E32" sqref="E32"/>
    </sheetView>
  </sheetViews>
  <sheetFormatPr defaultRowHeight="15"/>
  <cols>
    <col min="2" max="2" width="18.85546875" bestFit="1" customWidth="1"/>
    <col min="3" max="3" width="20.85546875" customWidth="1"/>
    <col min="4" max="4" width="10.140625" bestFit="1" customWidth="1"/>
    <col min="6" max="6" width="10.7109375" bestFit="1" customWidth="1"/>
    <col min="7" max="7" width="14.140625" bestFit="1" customWidth="1"/>
    <col min="17" max="17" width="12.5703125" bestFit="1" customWidth="1"/>
  </cols>
  <sheetData>
    <row r="1" spans="1:13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</row>
    <row r="2" spans="1:13">
      <c r="A2">
        <v>1</v>
      </c>
      <c r="B2" t="s">
        <v>190</v>
      </c>
      <c r="C2" t="s">
        <v>12</v>
      </c>
      <c r="D2" s="1">
        <v>45693</v>
      </c>
      <c r="E2" t="s">
        <v>191</v>
      </c>
      <c r="F2" s="2" t="b">
        <v>1</v>
      </c>
      <c r="G2" s="2" t="b">
        <v>1</v>
      </c>
      <c r="H2" s="2" t="b">
        <v>0</v>
      </c>
      <c r="I2" s="2" t="b">
        <v>0</v>
      </c>
      <c r="J2">
        <f xml:space="preserve"> IF(AND(E2="child",F2=TRUE), 1,0)</f>
        <v>1</v>
      </c>
      <c r="K2">
        <f xml:space="preserve"> IF(AND(E2="peer",F2=TRUE), 1,0)</f>
        <v>0</v>
      </c>
      <c r="L2">
        <f xml:space="preserve"> IF(AND(E2="short",F2=TRUE), 1,0)</f>
        <v>0</v>
      </c>
      <c r="M2">
        <f xml:space="preserve"> IF(AND(E2="creative",F2=TRUE), 1,0)</f>
        <v>0</v>
      </c>
    </row>
    <row r="3" spans="1:13">
      <c r="A3">
        <v>1</v>
      </c>
      <c r="B3" t="s">
        <v>192</v>
      </c>
      <c r="D3" s="1">
        <v>45693</v>
      </c>
      <c r="E3" t="s">
        <v>191</v>
      </c>
      <c r="F3" s="2" t="b">
        <v>0</v>
      </c>
      <c r="G3" s="2" t="b">
        <v>0</v>
      </c>
      <c r="H3" s="2" t="b">
        <v>1</v>
      </c>
      <c r="I3" s="2" t="b">
        <v>0</v>
      </c>
      <c r="J3">
        <f t="shared" ref="J3:J66" si="0" xml:space="preserve"> IF(AND(E3="child",F3=TRUE), 1,0)</f>
        <v>0</v>
      </c>
      <c r="K3">
        <f t="shared" ref="K3:K66" si="1" xml:space="preserve"> IF(AND(E3="peer",F3=TRUE), 1,0)</f>
        <v>0</v>
      </c>
      <c r="L3">
        <f t="shared" ref="L3:L66" si="2" xml:space="preserve"> IF(AND(E3="short",F3=TRUE), 1,0)</f>
        <v>0</v>
      </c>
      <c r="M3">
        <f t="shared" ref="M3:M66" si="3" xml:space="preserve"> IF(AND(E3="creative",F3=TRUE), 1,0)</f>
        <v>0</v>
      </c>
    </row>
    <row r="4" spans="1:13">
      <c r="A4">
        <f>A2+1</f>
        <v>2</v>
      </c>
      <c r="B4" t="s">
        <v>190</v>
      </c>
      <c r="C4" t="s">
        <v>21</v>
      </c>
      <c r="D4" s="1">
        <v>45693</v>
      </c>
      <c r="E4" t="s">
        <v>193</v>
      </c>
      <c r="F4" s="2" t="b">
        <v>1</v>
      </c>
      <c r="G4" s="2" t="b">
        <v>1</v>
      </c>
      <c r="H4" s="2" t="b">
        <v>0</v>
      </c>
      <c r="I4" s="2" t="b">
        <v>0</v>
      </c>
      <c r="J4">
        <f t="shared" si="0"/>
        <v>0</v>
      </c>
      <c r="K4">
        <f t="shared" si="1"/>
        <v>1</v>
      </c>
      <c r="L4">
        <f t="shared" si="2"/>
        <v>0</v>
      </c>
      <c r="M4">
        <f t="shared" si="3"/>
        <v>0</v>
      </c>
    </row>
    <row r="5" spans="1:13">
      <c r="A5">
        <f>A3+1</f>
        <v>2</v>
      </c>
      <c r="B5" t="s">
        <v>192</v>
      </c>
      <c r="C5" t="s">
        <v>24</v>
      </c>
      <c r="D5" s="1">
        <v>45693</v>
      </c>
      <c r="E5" t="s">
        <v>193</v>
      </c>
      <c r="F5" s="2" t="b">
        <v>1</v>
      </c>
      <c r="G5" s="2" t="b">
        <v>1</v>
      </c>
      <c r="H5" s="2" t="b">
        <v>0</v>
      </c>
      <c r="I5" s="2" t="b">
        <v>0</v>
      </c>
      <c r="J5">
        <f t="shared" si="0"/>
        <v>0</v>
      </c>
      <c r="K5">
        <f t="shared" si="1"/>
        <v>1</v>
      </c>
      <c r="L5">
        <f t="shared" si="2"/>
        <v>0</v>
      </c>
      <c r="M5">
        <f t="shared" si="3"/>
        <v>0</v>
      </c>
    </row>
    <row r="6" spans="1:13">
      <c r="A6">
        <f t="shared" ref="A6:A69" si="4">A4+1</f>
        <v>3</v>
      </c>
      <c r="B6" t="s">
        <v>190</v>
      </c>
      <c r="C6" t="s">
        <v>28</v>
      </c>
      <c r="D6" s="1">
        <v>45693</v>
      </c>
      <c r="E6" t="s">
        <v>194</v>
      </c>
      <c r="F6" s="2" t="b">
        <v>1</v>
      </c>
      <c r="G6" s="2" t="b">
        <v>1</v>
      </c>
      <c r="H6" s="2" t="b">
        <v>0</v>
      </c>
      <c r="I6" s="2" t="b">
        <v>0</v>
      </c>
      <c r="J6">
        <f t="shared" si="0"/>
        <v>0</v>
      </c>
      <c r="K6">
        <f t="shared" si="1"/>
        <v>0</v>
      </c>
      <c r="L6">
        <f t="shared" si="2"/>
        <v>1</v>
      </c>
      <c r="M6">
        <f t="shared" si="3"/>
        <v>0</v>
      </c>
    </row>
    <row r="7" spans="1:13">
      <c r="A7">
        <f t="shared" si="4"/>
        <v>3</v>
      </c>
      <c r="B7" t="s">
        <v>192</v>
      </c>
      <c r="C7" t="s">
        <v>32</v>
      </c>
      <c r="D7" s="1">
        <v>45693</v>
      </c>
      <c r="E7" t="s">
        <v>194</v>
      </c>
      <c r="F7" s="2" t="b">
        <v>1</v>
      </c>
      <c r="G7" s="2" t="b">
        <v>1</v>
      </c>
      <c r="H7" s="2" t="b">
        <v>0</v>
      </c>
      <c r="I7" s="2" t="b">
        <v>0</v>
      </c>
      <c r="J7">
        <f t="shared" si="0"/>
        <v>0</v>
      </c>
      <c r="K7">
        <f t="shared" si="1"/>
        <v>0</v>
      </c>
      <c r="L7">
        <f t="shared" si="2"/>
        <v>1</v>
      </c>
      <c r="M7">
        <f t="shared" si="3"/>
        <v>0</v>
      </c>
    </row>
    <row r="8" spans="1:13">
      <c r="A8">
        <f t="shared" si="4"/>
        <v>4</v>
      </c>
      <c r="B8" t="s">
        <v>190</v>
      </c>
      <c r="C8" t="s">
        <v>33</v>
      </c>
      <c r="D8" s="1">
        <v>45693</v>
      </c>
      <c r="E8" t="s">
        <v>195</v>
      </c>
      <c r="F8" s="2" t="b">
        <v>1</v>
      </c>
      <c r="G8" s="2" t="b">
        <v>1</v>
      </c>
      <c r="H8" s="2" t="b">
        <v>0</v>
      </c>
      <c r="I8" s="2" t="b">
        <v>0</v>
      </c>
      <c r="J8">
        <f t="shared" si="0"/>
        <v>0</v>
      </c>
      <c r="K8">
        <f t="shared" si="1"/>
        <v>0</v>
      </c>
      <c r="L8">
        <f t="shared" si="2"/>
        <v>0</v>
      </c>
      <c r="M8">
        <f t="shared" si="3"/>
        <v>1</v>
      </c>
    </row>
    <row r="9" spans="1:13">
      <c r="A9">
        <f t="shared" si="4"/>
        <v>4</v>
      </c>
      <c r="B9" t="s">
        <v>192</v>
      </c>
      <c r="C9" t="s">
        <v>35</v>
      </c>
      <c r="D9" s="1">
        <v>45693</v>
      </c>
      <c r="E9" t="s">
        <v>195</v>
      </c>
      <c r="F9" s="2" t="b">
        <v>1</v>
      </c>
      <c r="G9" s="2" t="b">
        <v>1</v>
      </c>
      <c r="H9" s="2" t="b">
        <v>0</v>
      </c>
      <c r="I9" s="2" t="b">
        <v>0</v>
      </c>
      <c r="J9">
        <f t="shared" si="0"/>
        <v>0</v>
      </c>
      <c r="K9">
        <f t="shared" si="1"/>
        <v>0</v>
      </c>
      <c r="L9">
        <f t="shared" si="2"/>
        <v>0</v>
      </c>
      <c r="M9">
        <f t="shared" si="3"/>
        <v>1</v>
      </c>
    </row>
    <row r="10" spans="1:13">
      <c r="A10">
        <f t="shared" si="4"/>
        <v>5</v>
      </c>
      <c r="B10" t="s">
        <v>190</v>
      </c>
      <c r="C10" t="s">
        <v>36</v>
      </c>
      <c r="D10" s="1">
        <v>45694</v>
      </c>
      <c r="E10" t="s">
        <v>191</v>
      </c>
      <c r="F10" s="2" t="b">
        <v>1</v>
      </c>
      <c r="G10" s="2" t="b">
        <v>1</v>
      </c>
      <c r="H10" s="2" t="b">
        <v>0</v>
      </c>
      <c r="I10" s="2" t="b">
        <v>0</v>
      </c>
      <c r="J10">
        <f t="shared" si="0"/>
        <v>1</v>
      </c>
      <c r="K10">
        <f t="shared" si="1"/>
        <v>0</v>
      </c>
      <c r="L10">
        <f t="shared" si="2"/>
        <v>0</v>
      </c>
      <c r="M10">
        <f t="shared" si="3"/>
        <v>0</v>
      </c>
    </row>
    <row r="11" spans="1:13">
      <c r="A11">
        <f t="shared" si="4"/>
        <v>5</v>
      </c>
      <c r="B11" t="s">
        <v>192</v>
      </c>
      <c r="C11" t="s">
        <v>37</v>
      </c>
      <c r="D11" s="1">
        <v>45694</v>
      </c>
      <c r="E11" t="s">
        <v>191</v>
      </c>
      <c r="F11" s="2" t="b">
        <v>1</v>
      </c>
      <c r="G11" s="2" t="b">
        <v>1</v>
      </c>
      <c r="H11" s="2" t="b">
        <v>0</v>
      </c>
      <c r="I11" s="2" t="b">
        <v>0</v>
      </c>
      <c r="J11">
        <f t="shared" si="0"/>
        <v>1</v>
      </c>
      <c r="K11">
        <f t="shared" si="1"/>
        <v>0</v>
      </c>
      <c r="L11">
        <f t="shared" si="2"/>
        <v>0</v>
      </c>
      <c r="M11">
        <f t="shared" si="3"/>
        <v>0</v>
      </c>
    </row>
    <row r="12" spans="1:13">
      <c r="A12">
        <f t="shared" si="4"/>
        <v>6</v>
      </c>
      <c r="B12" t="s">
        <v>192</v>
      </c>
      <c r="C12" t="s">
        <v>39</v>
      </c>
      <c r="D12" s="1">
        <v>45699</v>
      </c>
      <c r="E12" t="s">
        <v>193</v>
      </c>
      <c r="F12" s="2" t="b">
        <v>1</v>
      </c>
      <c r="G12" s="2" t="b">
        <v>1</v>
      </c>
      <c r="H12" s="2" t="b">
        <v>0</v>
      </c>
      <c r="I12" s="2" t="b">
        <v>0</v>
      </c>
      <c r="J12">
        <f t="shared" si="0"/>
        <v>0</v>
      </c>
      <c r="K12">
        <f t="shared" si="1"/>
        <v>1</v>
      </c>
      <c r="L12">
        <f t="shared" si="2"/>
        <v>0</v>
      </c>
      <c r="M12">
        <f t="shared" si="3"/>
        <v>0</v>
      </c>
    </row>
    <row r="13" spans="1:13">
      <c r="A13">
        <f t="shared" si="4"/>
        <v>6</v>
      </c>
      <c r="B13" t="s">
        <v>190</v>
      </c>
      <c r="C13" t="s">
        <v>41</v>
      </c>
      <c r="D13" s="1">
        <v>45699</v>
      </c>
      <c r="E13" t="s">
        <v>193</v>
      </c>
      <c r="F13" s="2" t="b">
        <v>1</v>
      </c>
      <c r="G13" s="2" t="b">
        <v>1</v>
      </c>
      <c r="H13" s="2" t="b">
        <v>0</v>
      </c>
      <c r="I13" s="2" t="b">
        <v>0</v>
      </c>
      <c r="J13">
        <f t="shared" si="0"/>
        <v>0</v>
      </c>
      <c r="K13">
        <f t="shared" si="1"/>
        <v>1</v>
      </c>
      <c r="L13">
        <f t="shared" si="2"/>
        <v>0</v>
      </c>
      <c r="M13">
        <f t="shared" si="3"/>
        <v>0</v>
      </c>
    </row>
    <row r="14" spans="1:13">
      <c r="A14">
        <f t="shared" si="4"/>
        <v>7</v>
      </c>
      <c r="B14" t="s">
        <v>192</v>
      </c>
      <c r="D14" s="1">
        <v>45699</v>
      </c>
      <c r="E14" t="s">
        <v>194</v>
      </c>
      <c r="F14" s="2" t="b">
        <v>0</v>
      </c>
      <c r="G14" s="2" t="b">
        <v>0</v>
      </c>
      <c r="H14" s="2" t="b">
        <v>0</v>
      </c>
      <c r="I14" s="2" t="b">
        <v>1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</row>
    <row r="15" spans="1:13">
      <c r="A15">
        <f t="shared" si="4"/>
        <v>7</v>
      </c>
      <c r="B15" t="s">
        <v>190</v>
      </c>
      <c r="C15" t="s">
        <v>42</v>
      </c>
      <c r="D15" s="1">
        <v>45699</v>
      </c>
      <c r="E15" t="s">
        <v>194</v>
      </c>
      <c r="F15" s="2" t="b">
        <v>1</v>
      </c>
      <c r="G15" s="2" t="b">
        <v>1</v>
      </c>
      <c r="H15" s="2" t="b">
        <v>0</v>
      </c>
      <c r="I15" s="2" t="b">
        <v>0</v>
      </c>
      <c r="J15">
        <f t="shared" si="0"/>
        <v>0</v>
      </c>
      <c r="K15">
        <f t="shared" si="1"/>
        <v>0</v>
      </c>
      <c r="L15">
        <f t="shared" si="2"/>
        <v>1</v>
      </c>
      <c r="M15">
        <f t="shared" si="3"/>
        <v>0</v>
      </c>
    </row>
    <row r="16" spans="1:13">
      <c r="A16">
        <f t="shared" si="4"/>
        <v>8</v>
      </c>
      <c r="B16" t="s">
        <v>190</v>
      </c>
      <c r="C16" t="s">
        <v>44</v>
      </c>
      <c r="D16" s="1">
        <v>45699</v>
      </c>
      <c r="E16" t="s">
        <v>195</v>
      </c>
      <c r="F16" s="2" t="b">
        <v>1</v>
      </c>
      <c r="G16" s="2" t="b">
        <v>0</v>
      </c>
      <c r="H16" s="2" t="b">
        <v>0</v>
      </c>
      <c r="I16" s="2" t="b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1</v>
      </c>
    </row>
    <row r="17" spans="1:13">
      <c r="A17">
        <f t="shared" si="4"/>
        <v>8</v>
      </c>
      <c r="D17" s="1">
        <v>45699</v>
      </c>
      <c r="E17" t="s">
        <v>195</v>
      </c>
      <c r="F17" s="2" t="b">
        <v>0</v>
      </c>
      <c r="G17" s="2" t="b">
        <v>0</v>
      </c>
      <c r="H17" s="2" t="b">
        <v>0</v>
      </c>
      <c r="I17" s="2" t="b">
        <v>1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</row>
    <row r="18" spans="1:13">
      <c r="A18">
        <f t="shared" si="4"/>
        <v>9</v>
      </c>
      <c r="B18" t="s">
        <v>192</v>
      </c>
      <c r="C18" t="s">
        <v>45</v>
      </c>
      <c r="D18" s="1">
        <v>45699</v>
      </c>
      <c r="E18" t="s">
        <v>191</v>
      </c>
      <c r="F18" s="2" t="b">
        <v>1</v>
      </c>
      <c r="G18" s="2" t="b">
        <v>1</v>
      </c>
      <c r="H18" s="2" t="b">
        <v>0</v>
      </c>
      <c r="I18" s="2" t="b">
        <v>0</v>
      </c>
      <c r="J18">
        <f t="shared" si="0"/>
        <v>1</v>
      </c>
      <c r="K18">
        <f t="shared" si="1"/>
        <v>0</v>
      </c>
      <c r="L18">
        <f t="shared" si="2"/>
        <v>0</v>
      </c>
      <c r="M18">
        <f t="shared" si="3"/>
        <v>0</v>
      </c>
    </row>
    <row r="19" spans="1:13">
      <c r="A19">
        <f t="shared" si="4"/>
        <v>9</v>
      </c>
      <c r="B19" t="s">
        <v>190</v>
      </c>
      <c r="C19" t="s">
        <v>48</v>
      </c>
      <c r="D19" s="1">
        <v>45699</v>
      </c>
      <c r="E19" t="s">
        <v>191</v>
      </c>
      <c r="F19" s="2" t="b">
        <v>1</v>
      </c>
      <c r="G19" s="2" t="b">
        <v>1</v>
      </c>
      <c r="H19" s="2" t="b">
        <v>0</v>
      </c>
      <c r="I19" s="2" t="b">
        <v>0</v>
      </c>
      <c r="J19">
        <f t="shared" si="0"/>
        <v>1</v>
      </c>
      <c r="K19">
        <f t="shared" si="1"/>
        <v>0</v>
      </c>
      <c r="L19">
        <f t="shared" si="2"/>
        <v>0</v>
      </c>
      <c r="M19">
        <f t="shared" si="3"/>
        <v>0</v>
      </c>
    </row>
    <row r="20" spans="1:13">
      <c r="A20">
        <f t="shared" si="4"/>
        <v>10</v>
      </c>
      <c r="D20" s="1">
        <v>45699</v>
      </c>
      <c r="E20" t="s">
        <v>193</v>
      </c>
      <c r="F20" s="2" t="b">
        <v>0</v>
      </c>
      <c r="G20" s="2" t="b">
        <v>0</v>
      </c>
      <c r="H20" s="2" t="b">
        <v>1</v>
      </c>
      <c r="I20" s="2" t="b">
        <v>0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</v>
      </c>
    </row>
    <row r="21" spans="1:13">
      <c r="A21">
        <f t="shared" si="4"/>
        <v>10</v>
      </c>
      <c r="D21" s="1">
        <v>45699</v>
      </c>
      <c r="E21" t="s">
        <v>193</v>
      </c>
      <c r="F21" s="2" t="b">
        <v>0</v>
      </c>
      <c r="G21" s="2" t="b">
        <v>0</v>
      </c>
      <c r="H21" s="2" t="b">
        <v>0</v>
      </c>
      <c r="I21" s="2" t="b">
        <v>1</v>
      </c>
      <c r="J21">
        <f t="shared" si="0"/>
        <v>0</v>
      </c>
      <c r="K21">
        <f t="shared" si="1"/>
        <v>0</v>
      </c>
      <c r="L21">
        <f t="shared" si="2"/>
        <v>0</v>
      </c>
      <c r="M21">
        <f t="shared" si="3"/>
        <v>0</v>
      </c>
    </row>
    <row r="22" spans="1:13">
      <c r="A22">
        <f t="shared" si="4"/>
        <v>11</v>
      </c>
      <c r="B22" t="s">
        <v>192</v>
      </c>
      <c r="C22" t="s">
        <v>51</v>
      </c>
      <c r="D22" s="1">
        <v>45700</v>
      </c>
      <c r="E22" t="s">
        <v>194</v>
      </c>
      <c r="F22" s="2" t="b">
        <v>1</v>
      </c>
      <c r="G22" s="2" t="b">
        <v>1</v>
      </c>
      <c r="H22" s="2" t="b">
        <v>0</v>
      </c>
      <c r="I22" s="2" t="b">
        <v>0</v>
      </c>
      <c r="J22">
        <f t="shared" si="0"/>
        <v>0</v>
      </c>
      <c r="K22">
        <f t="shared" si="1"/>
        <v>0</v>
      </c>
      <c r="L22">
        <f t="shared" si="2"/>
        <v>1</v>
      </c>
      <c r="M22">
        <f t="shared" si="3"/>
        <v>0</v>
      </c>
    </row>
    <row r="23" spans="1:13">
      <c r="A23">
        <f t="shared" si="4"/>
        <v>11</v>
      </c>
      <c r="B23" t="s">
        <v>190</v>
      </c>
      <c r="C23" t="s">
        <v>52</v>
      </c>
      <c r="D23" s="1">
        <v>45700</v>
      </c>
      <c r="E23" t="s">
        <v>194</v>
      </c>
      <c r="F23" s="2" t="b">
        <v>1</v>
      </c>
      <c r="G23" s="2" t="b">
        <v>1</v>
      </c>
      <c r="H23" s="2" t="b">
        <v>0</v>
      </c>
      <c r="I23" s="2" t="b">
        <v>0</v>
      </c>
      <c r="J23">
        <f t="shared" si="0"/>
        <v>0</v>
      </c>
      <c r="K23">
        <f t="shared" si="1"/>
        <v>0</v>
      </c>
      <c r="L23">
        <f t="shared" si="2"/>
        <v>1</v>
      </c>
      <c r="M23">
        <f t="shared" si="3"/>
        <v>0</v>
      </c>
    </row>
    <row r="24" spans="1:13">
      <c r="A24">
        <f t="shared" si="4"/>
        <v>12</v>
      </c>
      <c r="B24" t="s">
        <v>192</v>
      </c>
      <c r="C24" t="s">
        <v>53</v>
      </c>
      <c r="D24" s="1">
        <v>45700</v>
      </c>
      <c r="E24" t="s">
        <v>195</v>
      </c>
      <c r="F24" s="2" t="b">
        <v>1</v>
      </c>
      <c r="G24" s="2" t="b">
        <v>1</v>
      </c>
      <c r="H24" s="2" t="b">
        <v>0</v>
      </c>
      <c r="I24" s="2" t="b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1</v>
      </c>
    </row>
    <row r="25" spans="1:13">
      <c r="A25">
        <f t="shared" si="4"/>
        <v>12</v>
      </c>
      <c r="B25" t="s">
        <v>190</v>
      </c>
      <c r="C25" t="s">
        <v>54</v>
      </c>
      <c r="D25" s="1">
        <v>45700</v>
      </c>
      <c r="E25" t="s">
        <v>195</v>
      </c>
      <c r="F25" s="2" t="b">
        <v>1</v>
      </c>
      <c r="G25" s="2" t="b">
        <v>1</v>
      </c>
      <c r="H25" s="2" t="b">
        <v>0</v>
      </c>
      <c r="I25" s="2" t="b">
        <v>0</v>
      </c>
      <c r="J25">
        <f t="shared" si="0"/>
        <v>0</v>
      </c>
      <c r="K25">
        <f t="shared" si="1"/>
        <v>0</v>
      </c>
      <c r="L25">
        <f t="shared" si="2"/>
        <v>0</v>
      </c>
      <c r="M25">
        <f t="shared" si="3"/>
        <v>1</v>
      </c>
    </row>
    <row r="26" spans="1:13">
      <c r="A26">
        <f t="shared" si="4"/>
        <v>13</v>
      </c>
      <c r="B26" t="s">
        <v>192</v>
      </c>
      <c r="C26" t="s">
        <v>55</v>
      </c>
      <c r="D26" s="1">
        <v>45700</v>
      </c>
      <c r="E26" t="s">
        <v>191</v>
      </c>
      <c r="F26" s="2" t="b">
        <v>1</v>
      </c>
      <c r="G26" s="2" t="b">
        <v>1</v>
      </c>
      <c r="H26" s="2" t="b">
        <v>0</v>
      </c>
      <c r="I26" s="2" t="b">
        <v>0</v>
      </c>
      <c r="J26">
        <f t="shared" si="0"/>
        <v>1</v>
      </c>
      <c r="K26">
        <f t="shared" si="1"/>
        <v>0</v>
      </c>
      <c r="L26">
        <f t="shared" si="2"/>
        <v>0</v>
      </c>
      <c r="M26">
        <f t="shared" si="3"/>
        <v>0</v>
      </c>
    </row>
    <row r="27" spans="1:13">
      <c r="A27">
        <f t="shared" si="4"/>
        <v>13</v>
      </c>
      <c r="B27" t="s">
        <v>190</v>
      </c>
      <c r="C27" t="s">
        <v>56</v>
      </c>
      <c r="D27" s="1">
        <v>45700</v>
      </c>
      <c r="E27" t="s">
        <v>191</v>
      </c>
      <c r="F27" s="2" t="b">
        <v>1</v>
      </c>
      <c r="G27" s="2" t="b">
        <v>1</v>
      </c>
      <c r="H27" s="2" t="b">
        <v>0</v>
      </c>
      <c r="I27" s="2" t="b">
        <v>0</v>
      </c>
      <c r="J27">
        <f t="shared" si="0"/>
        <v>1</v>
      </c>
      <c r="K27">
        <f t="shared" si="1"/>
        <v>0</v>
      </c>
      <c r="L27">
        <f t="shared" si="2"/>
        <v>0</v>
      </c>
      <c r="M27">
        <f t="shared" si="3"/>
        <v>0</v>
      </c>
    </row>
    <row r="28" spans="1:13">
      <c r="A28">
        <f t="shared" si="4"/>
        <v>14</v>
      </c>
      <c r="B28" t="s">
        <v>192</v>
      </c>
      <c r="C28" t="s">
        <v>57</v>
      </c>
      <c r="D28" s="1">
        <v>45700</v>
      </c>
      <c r="E28" t="s">
        <v>193</v>
      </c>
      <c r="F28" s="2" t="b">
        <v>1</v>
      </c>
      <c r="G28" s="2" t="b">
        <v>1</v>
      </c>
      <c r="H28" s="2" t="b">
        <v>0</v>
      </c>
      <c r="I28" s="2" t="b">
        <v>0</v>
      </c>
      <c r="J28">
        <f t="shared" si="0"/>
        <v>0</v>
      </c>
      <c r="K28">
        <f t="shared" si="1"/>
        <v>1</v>
      </c>
      <c r="L28">
        <f t="shared" si="2"/>
        <v>0</v>
      </c>
      <c r="M28">
        <f t="shared" si="3"/>
        <v>0</v>
      </c>
    </row>
    <row r="29" spans="1:13">
      <c r="A29">
        <f t="shared" si="4"/>
        <v>14</v>
      </c>
      <c r="D29" s="1">
        <v>45700</v>
      </c>
      <c r="E29" t="s">
        <v>193</v>
      </c>
      <c r="F29" s="2" t="b">
        <v>0</v>
      </c>
      <c r="G29" s="2" t="b">
        <v>0</v>
      </c>
      <c r="H29" s="2" t="b">
        <v>0</v>
      </c>
      <c r="I29" s="2" t="b">
        <v>1</v>
      </c>
      <c r="J29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</row>
    <row r="30" spans="1:13">
      <c r="A30">
        <f t="shared" si="4"/>
        <v>15</v>
      </c>
      <c r="B30" t="s">
        <v>190</v>
      </c>
      <c r="C30" t="s">
        <v>59</v>
      </c>
      <c r="D30" s="1">
        <v>45700</v>
      </c>
      <c r="E30" t="s">
        <v>194</v>
      </c>
      <c r="F30" s="2" t="b">
        <v>1</v>
      </c>
      <c r="G30" s="2" t="b">
        <v>1</v>
      </c>
      <c r="H30" s="2" t="b">
        <v>0</v>
      </c>
      <c r="I30" s="2" t="b">
        <v>0</v>
      </c>
      <c r="J30">
        <f t="shared" si="0"/>
        <v>0</v>
      </c>
      <c r="K30">
        <f t="shared" si="1"/>
        <v>0</v>
      </c>
      <c r="L30">
        <f t="shared" si="2"/>
        <v>1</v>
      </c>
      <c r="M30">
        <f t="shared" si="3"/>
        <v>0</v>
      </c>
    </row>
    <row r="31" spans="1:13">
      <c r="A31">
        <f t="shared" si="4"/>
        <v>15</v>
      </c>
      <c r="B31" t="s">
        <v>192</v>
      </c>
      <c r="C31" t="s">
        <v>60</v>
      </c>
      <c r="D31" s="1">
        <v>45700</v>
      </c>
      <c r="E31" t="s">
        <v>194</v>
      </c>
      <c r="F31" s="2" t="b">
        <v>1</v>
      </c>
      <c r="G31" s="2" t="b">
        <v>1</v>
      </c>
      <c r="H31" s="2" t="b">
        <v>0</v>
      </c>
      <c r="I31" s="2" t="b">
        <v>0</v>
      </c>
      <c r="J31">
        <f t="shared" si="0"/>
        <v>0</v>
      </c>
      <c r="K31">
        <f t="shared" si="1"/>
        <v>0</v>
      </c>
      <c r="L31">
        <f t="shared" si="2"/>
        <v>1</v>
      </c>
      <c r="M31">
        <f t="shared" si="3"/>
        <v>0</v>
      </c>
    </row>
    <row r="32" spans="1:13">
      <c r="A32">
        <f t="shared" si="4"/>
        <v>16</v>
      </c>
      <c r="B32" t="s">
        <v>190</v>
      </c>
      <c r="C32" t="s">
        <v>61</v>
      </c>
      <c r="D32" s="1">
        <v>45700</v>
      </c>
      <c r="E32" t="s">
        <v>195</v>
      </c>
      <c r="F32" s="2" t="b">
        <v>1</v>
      </c>
      <c r="G32" s="2" t="b">
        <v>1</v>
      </c>
      <c r="H32" s="2" t="b">
        <v>0</v>
      </c>
      <c r="I32" s="2" t="b"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1</v>
      </c>
    </row>
    <row r="33" spans="1:13">
      <c r="A33">
        <f t="shared" si="4"/>
        <v>16</v>
      </c>
      <c r="E33" t="s">
        <v>195</v>
      </c>
      <c r="F33" s="2" t="b">
        <v>0</v>
      </c>
      <c r="G33" s="2" t="b">
        <v>0</v>
      </c>
      <c r="H33" s="2" t="b">
        <v>0</v>
      </c>
      <c r="I33" s="2" t="b">
        <v>1</v>
      </c>
      <c r="J33">
        <f t="shared" si="0"/>
        <v>0</v>
      </c>
      <c r="K33">
        <f t="shared" si="1"/>
        <v>0</v>
      </c>
      <c r="L33">
        <f t="shared" si="2"/>
        <v>0</v>
      </c>
      <c r="M33">
        <f t="shared" si="3"/>
        <v>0</v>
      </c>
    </row>
    <row r="34" spans="1:13">
      <c r="A34">
        <f t="shared" si="4"/>
        <v>17</v>
      </c>
      <c r="B34" t="s">
        <v>190</v>
      </c>
      <c r="C34" t="s">
        <v>62</v>
      </c>
      <c r="D34" s="1">
        <v>45700</v>
      </c>
      <c r="E34" t="s">
        <v>191</v>
      </c>
      <c r="F34" s="2" t="b">
        <v>1</v>
      </c>
      <c r="G34" s="2" t="b">
        <v>1</v>
      </c>
      <c r="H34" s="2" t="b">
        <v>0</v>
      </c>
      <c r="I34" s="2" t="b">
        <v>0</v>
      </c>
      <c r="J34">
        <f t="shared" si="0"/>
        <v>1</v>
      </c>
      <c r="K34">
        <f t="shared" si="1"/>
        <v>0</v>
      </c>
      <c r="L34">
        <f t="shared" si="2"/>
        <v>0</v>
      </c>
      <c r="M34">
        <f t="shared" si="3"/>
        <v>0</v>
      </c>
    </row>
    <row r="35" spans="1:13">
      <c r="A35">
        <f t="shared" si="4"/>
        <v>17</v>
      </c>
      <c r="B35" t="s">
        <v>192</v>
      </c>
      <c r="C35" t="s">
        <v>64</v>
      </c>
      <c r="D35" s="1">
        <v>45700</v>
      </c>
      <c r="E35" t="s">
        <v>191</v>
      </c>
      <c r="F35" s="2" t="b">
        <v>1</v>
      </c>
      <c r="G35" s="2" t="b">
        <v>1</v>
      </c>
      <c r="H35" s="2" t="b">
        <v>0</v>
      </c>
      <c r="I35" s="2" t="b">
        <v>0</v>
      </c>
      <c r="J35">
        <f t="shared" si="0"/>
        <v>1</v>
      </c>
      <c r="K35">
        <f t="shared" si="1"/>
        <v>0</v>
      </c>
      <c r="L35">
        <f t="shared" si="2"/>
        <v>0</v>
      </c>
      <c r="M35">
        <f t="shared" si="3"/>
        <v>0</v>
      </c>
    </row>
    <row r="36" spans="1:13">
      <c r="A36">
        <f t="shared" si="4"/>
        <v>18</v>
      </c>
      <c r="B36" t="s">
        <v>192</v>
      </c>
      <c r="C36" t="s">
        <v>65</v>
      </c>
      <c r="D36" s="1">
        <v>45701</v>
      </c>
      <c r="E36" t="s">
        <v>193</v>
      </c>
      <c r="F36" s="2" t="b">
        <v>1</v>
      </c>
      <c r="G36" s="2" t="b">
        <v>1</v>
      </c>
      <c r="H36" s="2" t="b">
        <v>0</v>
      </c>
      <c r="I36" s="2" t="b">
        <v>0</v>
      </c>
      <c r="J36">
        <f t="shared" si="0"/>
        <v>0</v>
      </c>
      <c r="K36">
        <f t="shared" si="1"/>
        <v>1</v>
      </c>
      <c r="L36">
        <f t="shared" si="2"/>
        <v>0</v>
      </c>
      <c r="M36">
        <f t="shared" si="3"/>
        <v>0</v>
      </c>
    </row>
    <row r="37" spans="1:13">
      <c r="A37">
        <f t="shared" si="4"/>
        <v>18</v>
      </c>
      <c r="B37" t="s">
        <v>190</v>
      </c>
      <c r="C37" t="s">
        <v>66</v>
      </c>
      <c r="D37" s="1">
        <v>45701</v>
      </c>
      <c r="E37" t="s">
        <v>193</v>
      </c>
      <c r="F37" s="2" t="b">
        <v>1</v>
      </c>
      <c r="G37" s="2" t="b">
        <v>1</v>
      </c>
      <c r="H37" s="2" t="b">
        <v>0</v>
      </c>
      <c r="I37" s="2" t="b">
        <v>0</v>
      </c>
      <c r="J37">
        <f t="shared" si="0"/>
        <v>0</v>
      </c>
      <c r="K37">
        <f t="shared" si="1"/>
        <v>1</v>
      </c>
      <c r="L37">
        <f t="shared" si="2"/>
        <v>0</v>
      </c>
      <c r="M37">
        <f t="shared" si="3"/>
        <v>0</v>
      </c>
    </row>
    <row r="38" spans="1:13">
      <c r="A38">
        <f t="shared" si="4"/>
        <v>19</v>
      </c>
      <c r="B38" t="s">
        <v>192</v>
      </c>
      <c r="C38" t="s">
        <v>68</v>
      </c>
      <c r="D38" s="1">
        <v>45701</v>
      </c>
      <c r="E38" t="s">
        <v>194</v>
      </c>
      <c r="F38" s="2" t="b">
        <v>1</v>
      </c>
      <c r="G38" s="2" t="b">
        <v>1</v>
      </c>
      <c r="H38" s="2" t="b">
        <v>0</v>
      </c>
      <c r="I38" s="2" t="b">
        <v>0</v>
      </c>
      <c r="J38">
        <f t="shared" si="0"/>
        <v>0</v>
      </c>
      <c r="K38">
        <f t="shared" si="1"/>
        <v>0</v>
      </c>
      <c r="L38">
        <f t="shared" si="2"/>
        <v>1</v>
      </c>
      <c r="M38">
        <f t="shared" si="3"/>
        <v>0</v>
      </c>
    </row>
    <row r="39" spans="1:13">
      <c r="A39">
        <f t="shared" si="4"/>
        <v>19</v>
      </c>
      <c r="B39" t="s">
        <v>190</v>
      </c>
      <c r="C39" t="s">
        <v>69</v>
      </c>
      <c r="D39" s="1">
        <v>45701</v>
      </c>
      <c r="E39" t="s">
        <v>194</v>
      </c>
      <c r="F39" s="2" t="b">
        <v>1</v>
      </c>
      <c r="G39" s="2" t="b">
        <v>1</v>
      </c>
      <c r="H39" s="2" t="b">
        <v>0</v>
      </c>
      <c r="I39" s="2" t="b">
        <v>0</v>
      </c>
      <c r="J39">
        <f t="shared" si="0"/>
        <v>0</v>
      </c>
      <c r="K39">
        <f t="shared" si="1"/>
        <v>0</v>
      </c>
      <c r="L39">
        <f t="shared" si="2"/>
        <v>1</v>
      </c>
      <c r="M39">
        <f t="shared" si="3"/>
        <v>0</v>
      </c>
    </row>
    <row r="40" spans="1:13">
      <c r="A40">
        <f t="shared" si="4"/>
        <v>20</v>
      </c>
      <c r="B40" t="s">
        <v>190</v>
      </c>
      <c r="C40" t="s">
        <v>70</v>
      </c>
      <c r="D40" s="1">
        <v>45702</v>
      </c>
      <c r="E40" t="s">
        <v>195</v>
      </c>
      <c r="F40" s="2" t="b">
        <v>1</v>
      </c>
      <c r="G40" s="2" t="b">
        <v>1</v>
      </c>
      <c r="H40" s="2" t="b">
        <v>0</v>
      </c>
      <c r="I40" s="2" t="b">
        <v>0</v>
      </c>
      <c r="J40">
        <f t="shared" si="0"/>
        <v>0</v>
      </c>
      <c r="K40">
        <f t="shared" si="1"/>
        <v>0</v>
      </c>
      <c r="L40">
        <f t="shared" si="2"/>
        <v>0</v>
      </c>
      <c r="M40">
        <f t="shared" si="3"/>
        <v>1</v>
      </c>
    </row>
    <row r="41" spans="1:13">
      <c r="A41">
        <f t="shared" si="4"/>
        <v>20</v>
      </c>
      <c r="D41" s="1"/>
      <c r="E41" t="s">
        <v>195</v>
      </c>
      <c r="F41" s="2" t="b">
        <v>0</v>
      </c>
      <c r="G41" s="2" t="b">
        <v>0</v>
      </c>
      <c r="H41" s="2" t="b">
        <v>1</v>
      </c>
      <c r="I41" s="2" t="b">
        <v>0</v>
      </c>
      <c r="J41">
        <f t="shared" si="0"/>
        <v>0</v>
      </c>
      <c r="K41">
        <f t="shared" si="1"/>
        <v>0</v>
      </c>
      <c r="L41">
        <f t="shared" si="2"/>
        <v>0</v>
      </c>
      <c r="M41">
        <f t="shared" si="3"/>
        <v>0</v>
      </c>
    </row>
    <row r="42" spans="1:13">
      <c r="A42">
        <f t="shared" si="4"/>
        <v>21</v>
      </c>
      <c r="B42" t="s">
        <v>192</v>
      </c>
      <c r="C42" t="s">
        <v>71</v>
      </c>
      <c r="D42" s="1">
        <v>45702</v>
      </c>
      <c r="E42" t="s">
        <v>191</v>
      </c>
      <c r="F42" s="2" t="b">
        <v>1</v>
      </c>
      <c r="G42" s="2" t="b">
        <v>1</v>
      </c>
      <c r="H42" s="2" t="b">
        <v>0</v>
      </c>
      <c r="I42" s="2" t="b">
        <v>0</v>
      </c>
      <c r="J42">
        <f t="shared" si="0"/>
        <v>1</v>
      </c>
      <c r="K42">
        <f t="shared" si="1"/>
        <v>0</v>
      </c>
      <c r="L42">
        <f t="shared" si="2"/>
        <v>0</v>
      </c>
      <c r="M42">
        <f t="shared" si="3"/>
        <v>0</v>
      </c>
    </row>
    <row r="43" spans="1:13">
      <c r="A43">
        <f t="shared" si="4"/>
        <v>21</v>
      </c>
      <c r="E43" t="s">
        <v>191</v>
      </c>
      <c r="F43" s="2" t="b">
        <v>0</v>
      </c>
      <c r="G43" s="2" t="b">
        <v>0</v>
      </c>
      <c r="H43" s="2" t="b">
        <v>0</v>
      </c>
      <c r="I43" s="2" t="b">
        <v>1</v>
      </c>
      <c r="J43">
        <f t="shared" si="0"/>
        <v>0</v>
      </c>
      <c r="K43">
        <f t="shared" si="1"/>
        <v>0</v>
      </c>
      <c r="L43">
        <f t="shared" si="2"/>
        <v>0</v>
      </c>
      <c r="M43">
        <f t="shared" si="3"/>
        <v>0</v>
      </c>
    </row>
    <row r="44" spans="1:13">
      <c r="A44">
        <f t="shared" si="4"/>
        <v>22</v>
      </c>
      <c r="B44" t="s">
        <v>192</v>
      </c>
      <c r="C44" t="s">
        <v>72</v>
      </c>
      <c r="D44" s="1">
        <v>45702</v>
      </c>
      <c r="E44" t="s">
        <v>193</v>
      </c>
      <c r="F44" s="2" t="b">
        <v>1</v>
      </c>
      <c r="G44" s="2" t="b">
        <v>1</v>
      </c>
      <c r="H44" s="2" t="b">
        <v>0</v>
      </c>
      <c r="I44" s="2" t="b">
        <v>0</v>
      </c>
      <c r="J44">
        <f t="shared" si="0"/>
        <v>0</v>
      </c>
      <c r="K44">
        <f t="shared" si="1"/>
        <v>1</v>
      </c>
      <c r="L44">
        <f t="shared" si="2"/>
        <v>0</v>
      </c>
      <c r="M44">
        <f t="shared" si="3"/>
        <v>0</v>
      </c>
    </row>
    <row r="45" spans="1:13">
      <c r="A45">
        <f t="shared" si="4"/>
        <v>22</v>
      </c>
      <c r="E45" t="s">
        <v>193</v>
      </c>
      <c r="F45" s="2" t="b">
        <v>0</v>
      </c>
      <c r="G45" s="2" t="b">
        <v>0</v>
      </c>
      <c r="H45" s="2" t="b">
        <v>1</v>
      </c>
      <c r="I45" s="2" t="b">
        <v>0</v>
      </c>
      <c r="J45">
        <f t="shared" si="0"/>
        <v>0</v>
      </c>
      <c r="K45">
        <f t="shared" si="1"/>
        <v>0</v>
      </c>
      <c r="L45">
        <f t="shared" si="2"/>
        <v>0</v>
      </c>
      <c r="M45">
        <f t="shared" si="3"/>
        <v>0</v>
      </c>
    </row>
    <row r="46" spans="1:13">
      <c r="A46">
        <f t="shared" si="4"/>
        <v>23</v>
      </c>
      <c r="B46" t="s">
        <v>190</v>
      </c>
      <c r="C46" t="s">
        <v>73</v>
      </c>
      <c r="D46" s="1">
        <v>45702</v>
      </c>
      <c r="E46" t="s">
        <v>194</v>
      </c>
      <c r="F46" s="2" t="b">
        <v>1</v>
      </c>
      <c r="G46" s="2" t="b">
        <v>1</v>
      </c>
      <c r="H46" s="2" t="b">
        <v>0</v>
      </c>
      <c r="I46" s="2" t="b">
        <v>0</v>
      </c>
      <c r="J46">
        <f t="shared" si="0"/>
        <v>0</v>
      </c>
      <c r="K46">
        <f t="shared" si="1"/>
        <v>0</v>
      </c>
      <c r="L46">
        <f t="shared" si="2"/>
        <v>1</v>
      </c>
      <c r="M46">
        <f t="shared" si="3"/>
        <v>0</v>
      </c>
    </row>
    <row r="47" spans="1:13">
      <c r="A47">
        <f t="shared" si="4"/>
        <v>23</v>
      </c>
      <c r="B47" t="s">
        <v>192</v>
      </c>
      <c r="C47" t="s">
        <v>74</v>
      </c>
      <c r="D47" s="1">
        <v>45702</v>
      </c>
      <c r="E47" t="s">
        <v>194</v>
      </c>
      <c r="F47" s="2" t="b">
        <v>1</v>
      </c>
      <c r="G47" s="2" t="b">
        <v>1</v>
      </c>
      <c r="H47" s="2" t="b">
        <v>0</v>
      </c>
      <c r="I47" s="2" t="b">
        <v>0</v>
      </c>
      <c r="J47">
        <f t="shared" si="0"/>
        <v>0</v>
      </c>
      <c r="K47">
        <f t="shared" si="1"/>
        <v>0</v>
      </c>
      <c r="L47">
        <f t="shared" si="2"/>
        <v>1</v>
      </c>
      <c r="M47">
        <f t="shared" si="3"/>
        <v>0</v>
      </c>
    </row>
    <row r="48" spans="1:13">
      <c r="A48">
        <f t="shared" si="4"/>
        <v>24</v>
      </c>
      <c r="B48" t="s">
        <v>190</v>
      </c>
      <c r="C48" t="s">
        <v>76</v>
      </c>
      <c r="D48" s="1">
        <v>45702</v>
      </c>
      <c r="E48" t="s">
        <v>195</v>
      </c>
      <c r="F48" s="2" t="b">
        <v>1</v>
      </c>
      <c r="G48" s="2" t="b">
        <v>1</v>
      </c>
      <c r="H48" s="2" t="b">
        <v>0</v>
      </c>
      <c r="I48" s="2" t="b">
        <v>0</v>
      </c>
      <c r="J48">
        <f t="shared" si="0"/>
        <v>0</v>
      </c>
      <c r="K48">
        <f t="shared" si="1"/>
        <v>0</v>
      </c>
      <c r="L48">
        <f t="shared" si="2"/>
        <v>0</v>
      </c>
      <c r="M48">
        <f t="shared" si="3"/>
        <v>1</v>
      </c>
    </row>
    <row r="49" spans="1:13">
      <c r="A49">
        <f t="shared" si="4"/>
        <v>24</v>
      </c>
      <c r="E49" t="s">
        <v>195</v>
      </c>
      <c r="F49" s="2" t="b">
        <v>0</v>
      </c>
      <c r="G49" s="2" t="b">
        <v>0</v>
      </c>
      <c r="H49" s="2" t="b">
        <v>1</v>
      </c>
      <c r="I49" s="2" t="b">
        <v>0</v>
      </c>
      <c r="J49">
        <f t="shared" si="0"/>
        <v>0</v>
      </c>
      <c r="K49">
        <f t="shared" si="1"/>
        <v>0</v>
      </c>
      <c r="L49">
        <f t="shared" si="2"/>
        <v>0</v>
      </c>
      <c r="M49">
        <f t="shared" si="3"/>
        <v>0</v>
      </c>
    </row>
    <row r="50" spans="1:13">
      <c r="A50">
        <f t="shared" si="4"/>
        <v>25</v>
      </c>
      <c r="B50" t="s">
        <v>192</v>
      </c>
      <c r="C50" t="s">
        <v>77</v>
      </c>
      <c r="D50" s="1">
        <v>45702</v>
      </c>
      <c r="E50" t="s">
        <v>191</v>
      </c>
      <c r="F50" s="2" t="b">
        <v>1</v>
      </c>
      <c r="G50" s="2" t="b">
        <v>1</v>
      </c>
      <c r="H50" s="2" t="b">
        <v>0</v>
      </c>
      <c r="I50" s="2" t="b">
        <v>0</v>
      </c>
      <c r="J50">
        <f t="shared" si="0"/>
        <v>1</v>
      </c>
      <c r="K50">
        <f t="shared" si="1"/>
        <v>0</v>
      </c>
      <c r="L50">
        <f t="shared" si="2"/>
        <v>0</v>
      </c>
      <c r="M50">
        <f t="shared" si="3"/>
        <v>0</v>
      </c>
    </row>
    <row r="51" spans="1:13">
      <c r="A51">
        <f t="shared" si="4"/>
        <v>25</v>
      </c>
      <c r="B51" t="s">
        <v>190</v>
      </c>
      <c r="C51" t="s">
        <v>78</v>
      </c>
      <c r="D51" s="1">
        <v>45702</v>
      </c>
      <c r="E51" t="s">
        <v>191</v>
      </c>
      <c r="F51" s="2" t="b">
        <v>1</v>
      </c>
      <c r="G51" s="2" t="b">
        <v>1</v>
      </c>
      <c r="H51" s="2" t="b">
        <v>0</v>
      </c>
      <c r="I51" s="2" t="b">
        <v>0</v>
      </c>
      <c r="J51">
        <f t="shared" si="0"/>
        <v>1</v>
      </c>
      <c r="K51">
        <f t="shared" si="1"/>
        <v>0</v>
      </c>
      <c r="L51">
        <f t="shared" si="2"/>
        <v>0</v>
      </c>
      <c r="M51">
        <f t="shared" si="3"/>
        <v>0</v>
      </c>
    </row>
    <row r="52" spans="1:13">
      <c r="A52">
        <f t="shared" si="4"/>
        <v>26</v>
      </c>
      <c r="B52" t="s">
        <v>192</v>
      </c>
      <c r="C52" t="s">
        <v>79</v>
      </c>
      <c r="D52" s="1">
        <v>45702</v>
      </c>
      <c r="E52" t="s">
        <v>193</v>
      </c>
      <c r="F52" s="2" t="b">
        <v>1</v>
      </c>
      <c r="G52" s="2" t="b">
        <v>1</v>
      </c>
      <c r="H52" s="2" t="b">
        <v>0</v>
      </c>
      <c r="I52" s="2" t="b">
        <v>0</v>
      </c>
      <c r="J52">
        <f t="shared" si="0"/>
        <v>0</v>
      </c>
      <c r="K52">
        <f t="shared" si="1"/>
        <v>1</v>
      </c>
      <c r="L52">
        <f t="shared" si="2"/>
        <v>0</v>
      </c>
      <c r="M52">
        <f t="shared" si="3"/>
        <v>0</v>
      </c>
    </row>
    <row r="53" spans="1:13">
      <c r="A53">
        <f t="shared" si="4"/>
        <v>26</v>
      </c>
      <c r="E53" t="s">
        <v>193</v>
      </c>
      <c r="F53" s="2" t="b">
        <v>0</v>
      </c>
      <c r="G53" s="2" t="b">
        <v>0</v>
      </c>
      <c r="H53" s="2" t="b">
        <v>1</v>
      </c>
      <c r="I53" s="2" t="b">
        <v>0</v>
      </c>
      <c r="J53">
        <f t="shared" si="0"/>
        <v>0</v>
      </c>
      <c r="K53">
        <f t="shared" si="1"/>
        <v>0</v>
      </c>
      <c r="L53">
        <f t="shared" si="2"/>
        <v>0</v>
      </c>
      <c r="M53">
        <f t="shared" si="3"/>
        <v>0</v>
      </c>
    </row>
    <row r="54" spans="1:13">
      <c r="A54">
        <f t="shared" si="4"/>
        <v>27</v>
      </c>
      <c r="B54" t="s">
        <v>190</v>
      </c>
      <c r="C54" t="s">
        <v>80</v>
      </c>
      <c r="D54" s="1">
        <v>45702</v>
      </c>
      <c r="E54" t="s">
        <v>194</v>
      </c>
      <c r="F54" s="2" t="b">
        <v>1</v>
      </c>
      <c r="G54" s="2" t="b">
        <v>1</v>
      </c>
      <c r="H54" s="2" t="b">
        <v>0</v>
      </c>
      <c r="I54" s="2" t="b">
        <v>0</v>
      </c>
      <c r="J54">
        <f t="shared" si="0"/>
        <v>0</v>
      </c>
      <c r="K54">
        <f t="shared" si="1"/>
        <v>0</v>
      </c>
      <c r="L54">
        <f t="shared" si="2"/>
        <v>1</v>
      </c>
      <c r="M54">
        <f t="shared" si="3"/>
        <v>0</v>
      </c>
    </row>
    <row r="55" spans="1:13">
      <c r="A55">
        <f t="shared" si="4"/>
        <v>27</v>
      </c>
      <c r="B55" t="s">
        <v>192</v>
      </c>
      <c r="C55" t="s">
        <v>81</v>
      </c>
      <c r="D55" s="1">
        <v>45702</v>
      </c>
      <c r="E55" t="s">
        <v>194</v>
      </c>
      <c r="F55" s="2" t="b">
        <v>1</v>
      </c>
      <c r="G55" s="2" t="b">
        <v>1</v>
      </c>
      <c r="H55" s="2" t="b">
        <v>0</v>
      </c>
      <c r="I55" s="2" t="b">
        <v>0</v>
      </c>
      <c r="J55">
        <f t="shared" si="0"/>
        <v>0</v>
      </c>
      <c r="K55">
        <f t="shared" si="1"/>
        <v>0</v>
      </c>
      <c r="L55">
        <f t="shared" si="2"/>
        <v>1</v>
      </c>
      <c r="M55">
        <f t="shared" si="3"/>
        <v>0</v>
      </c>
    </row>
    <row r="56" spans="1:13">
      <c r="A56">
        <f t="shared" si="4"/>
        <v>28</v>
      </c>
      <c r="E56" t="s">
        <v>195</v>
      </c>
      <c r="F56" s="2" t="b">
        <v>0</v>
      </c>
      <c r="G56" s="2" t="b">
        <v>0</v>
      </c>
      <c r="H56" s="2" t="b">
        <v>1</v>
      </c>
      <c r="I56" s="2" t="b"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</row>
    <row r="57" spans="1:13">
      <c r="A57">
        <f t="shared" si="4"/>
        <v>28</v>
      </c>
      <c r="E57" t="s">
        <v>195</v>
      </c>
      <c r="F57" s="2" t="b">
        <v>0</v>
      </c>
      <c r="G57" s="2" t="b">
        <v>0</v>
      </c>
      <c r="H57" s="2" t="b">
        <v>1</v>
      </c>
      <c r="I57" s="2" t="b">
        <v>0</v>
      </c>
      <c r="J57">
        <f t="shared" si="0"/>
        <v>0</v>
      </c>
      <c r="K57">
        <f t="shared" si="1"/>
        <v>0</v>
      </c>
      <c r="L57">
        <f t="shared" si="2"/>
        <v>0</v>
      </c>
      <c r="M57">
        <f t="shared" si="3"/>
        <v>0</v>
      </c>
    </row>
    <row r="58" spans="1:13">
      <c r="A58">
        <f t="shared" si="4"/>
        <v>29</v>
      </c>
      <c r="B58" t="s">
        <v>192</v>
      </c>
      <c r="C58" t="s">
        <v>82</v>
      </c>
      <c r="D58" s="1">
        <v>45705</v>
      </c>
      <c r="E58" t="s">
        <v>191</v>
      </c>
      <c r="F58" s="2" t="b">
        <v>1</v>
      </c>
      <c r="G58" s="2" t="b">
        <v>1</v>
      </c>
      <c r="H58" s="2" t="b">
        <v>0</v>
      </c>
      <c r="I58" s="2" t="b">
        <v>0</v>
      </c>
      <c r="J58">
        <f t="shared" si="0"/>
        <v>1</v>
      </c>
      <c r="K58">
        <f t="shared" si="1"/>
        <v>0</v>
      </c>
      <c r="L58">
        <f t="shared" si="2"/>
        <v>0</v>
      </c>
      <c r="M58">
        <f t="shared" si="3"/>
        <v>0</v>
      </c>
    </row>
    <row r="59" spans="1:13">
      <c r="A59">
        <f t="shared" si="4"/>
        <v>29</v>
      </c>
      <c r="B59" t="s">
        <v>190</v>
      </c>
      <c r="C59" t="s">
        <v>83</v>
      </c>
      <c r="D59" s="1">
        <v>45705</v>
      </c>
      <c r="E59" t="s">
        <v>191</v>
      </c>
      <c r="F59" s="2" t="b">
        <v>1</v>
      </c>
      <c r="G59" s="2" t="b">
        <v>1</v>
      </c>
      <c r="H59" s="2" t="b">
        <v>0</v>
      </c>
      <c r="I59" s="2" t="b">
        <v>0</v>
      </c>
      <c r="J59">
        <f t="shared" si="0"/>
        <v>1</v>
      </c>
      <c r="K59">
        <f t="shared" si="1"/>
        <v>0</v>
      </c>
      <c r="L59">
        <f t="shared" si="2"/>
        <v>0</v>
      </c>
      <c r="M59">
        <f t="shared" si="3"/>
        <v>0</v>
      </c>
    </row>
    <row r="60" spans="1:13">
      <c r="A60">
        <f t="shared" si="4"/>
        <v>30</v>
      </c>
      <c r="B60" t="s">
        <v>192</v>
      </c>
      <c r="C60" t="s">
        <v>84</v>
      </c>
      <c r="D60" s="1">
        <v>45705</v>
      </c>
      <c r="E60" t="s">
        <v>193</v>
      </c>
      <c r="F60" s="2" t="b">
        <v>1</v>
      </c>
      <c r="G60" s="2" t="b">
        <v>1</v>
      </c>
      <c r="H60" s="2" t="b">
        <v>0</v>
      </c>
      <c r="I60" s="2" t="b">
        <v>0</v>
      </c>
      <c r="J60">
        <f t="shared" si="0"/>
        <v>0</v>
      </c>
      <c r="K60">
        <f t="shared" si="1"/>
        <v>1</v>
      </c>
      <c r="L60">
        <f t="shared" si="2"/>
        <v>0</v>
      </c>
      <c r="M60">
        <f t="shared" si="3"/>
        <v>0</v>
      </c>
    </row>
    <row r="61" spans="1:13">
      <c r="A61">
        <f t="shared" si="4"/>
        <v>30</v>
      </c>
      <c r="B61" t="s">
        <v>190</v>
      </c>
      <c r="C61" t="s">
        <v>85</v>
      </c>
      <c r="D61" s="1">
        <v>45705</v>
      </c>
      <c r="E61" t="s">
        <v>193</v>
      </c>
      <c r="F61" s="2" t="b">
        <v>1</v>
      </c>
      <c r="G61" s="2" t="b">
        <v>1</v>
      </c>
      <c r="H61" s="2" t="b">
        <v>0</v>
      </c>
      <c r="I61" s="2" t="b">
        <v>0</v>
      </c>
      <c r="J61">
        <f t="shared" si="0"/>
        <v>0</v>
      </c>
      <c r="K61">
        <f t="shared" si="1"/>
        <v>1</v>
      </c>
      <c r="L61">
        <f t="shared" si="2"/>
        <v>0</v>
      </c>
      <c r="M61">
        <f t="shared" si="3"/>
        <v>0</v>
      </c>
    </row>
    <row r="62" spans="1:13">
      <c r="A62">
        <f t="shared" si="4"/>
        <v>31</v>
      </c>
      <c r="B62" t="s">
        <v>192</v>
      </c>
      <c r="C62" t="s">
        <v>86</v>
      </c>
      <c r="D62" s="1">
        <v>45706</v>
      </c>
      <c r="E62" t="s">
        <v>194</v>
      </c>
      <c r="F62" s="2" t="b">
        <v>1</v>
      </c>
      <c r="G62" s="2" t="b">
        <v>1</v>
      </c>
      <c r="H62" s="2" t="b">
        <v>0</v>
      </c>
      <c r="I62" s="2" t="b">
        <v>0</v>
      </c>
      <c r="J62">
        <f t="shared" si="0"/>
        <v>0</v>
      </c>
      <c r="K62">
        <f t="shared" si="1"/>
        <v>0</v>
      </c>
      <c r="L62">
        <f t="shared" si="2"/>
        <v>1</v>
      </c>
      <c r="M62">
        <f t="shared" si="3"/>
        <v>0</v>
      </c>
    </row>
    <row r="63" spans="1:13">
      <c r="A63">
        <f t="shared" si="4"/>
        <v>31</v>
      </c>
      <c r="B63" t="s">
        <v>192</v>
      </c>
      <c r="C63" t="s">
        <v>87</v>
      </c>
      <c r="D63" s="1">
        <v>45706</v>
      </c>
      <c r="E63" t="s">
        <v>194</v>
      </c>
      <c r="F63" s="2" t="b">
        <v>1</v>
      </c>
      <c r="G63" s="2" t="b">
        <v>1</v>
      </c>
      <c r="H63" s="2" t="b">
        <v>0</v>
      </c>
      <c r="I63" s="2" t="b">
        <v>0</v>
      </c>
      <c r="J63">
        <f t="shared" si="0"/>
        <v>0</v>
      </c>
      <c r="K63">
        <f t="shared" si="1"/>
        <v>0</v>
      </c>
      <c r="L63">
        <f t="shared" si="2"/>
        <v>1</v>
      </c>
      <c r="M63">
        <f t="shared" si="3"/>
        <v>0</v>
      </c>
    </row>
    <row r="64" spans="1:13">
      <c r="A64">
        <f t="shared" si="4"/>
        <v>32</v>
      </c>
      <c r="B64" t="s">
        <v>192</v>
      </c>
      <c r="C64" t="s">
        <v>88</v>
      </c>
      <c r="D64" s="1">
        <v>45706</v>
      </c>
      <c r="E64" t="s">
        <v>195</v>
      </c>
      <c r="F64" s="2" t="b">
        <v>1</v>
      </c>
      <c r="G64" s="2" t="b">
        <v>1</v>
      </c>
      <c r="H64" s="2" t="b">
        <v>0</v>
      </c>
      <c r="I64" s="2" t="b">
        <v>0</v>
      </c>
      <c r="J64">
        <f t="shared" si="0"/>
        <v>0</v>
      </c>
      <c r="K64">
        <f t="shared" si="1"/>
        <v>0</v>
      </c>
      <c r="L64">
        <f t="shared" si="2"/>
        <v>0</v>
      </c>
      <c r="M64">
        <f t="shared" si="3"/>
        <v>1</v>
      </c>
    </row>
    <row r="65" spans="1:13">
      <c r="A65">
        <f t="shared" si="4"/>
        <v>32</v>
      </c>
      <c r="B65" t="s">
        <v>190</v>
      </c>
      <c r="C65" t="s">
        <v>89</v>
      </c>
      <c r="D65" s="1">
        <v>45706</v>
      </c>
      <c r="E65" t="s">
        <v>195</v>
      </c>
      <c r="F65" s="2" t="b">
        <v>1</v>
      </c>
      <c r="G65" s="2" t="b">
        <v>1</v>
      </c>
      <c r="H65" s="2" t="b">
        <v>0</v>
      </c>
      <c r="I65" s="2" t="b">
        <v>0</v>
      </c>
      <c r="J65">
        <f t="shared" si="0"/>
        <v>0</v>
      </c>
      <c r="K65">
        <f t="shared" si="1"/>
        <v>0</v>
      </c>
      <c r="L65">
        <f t="shared" si="2"/>
        <v>0</v>
      </c>
      <c r="M65">
        <f t="shared" si="3"/>
        <v>1</v>
      </c>
    </row>
    <row r="66" spans="1:13">
      <c r="A66">
        <f t="shared" si="4"/>
        <v>33</v>
      </c>
      <c r="B66" t="s">
        <v>190</v>
      </c>
      <c r="C66" t="s">
        <v>90</v>
      </c>
      <c r="D66" s="1">
        <v>45707</v>
      </c>
      <c r="E66" t="s">
        <v>191</v>
      </c>
      <c r="F66" s="2" t="b">
        <v>1</v>
      </c>
      <c r="G66" s="2" t="b">
        <v>1</v>
      </c>
      <c r="H66" s="2" t="b">
        <v>0</v>
      </c>
      <c r="I66" s="2" t="b">
        <v>0</v>
      </c>
      <c r="J66">
        <f t="shared" si="0"/>
        <v>1</v>
      </c>
      <c r="K66">
        <f t="shared" si="1"/>
        <v>0</v>
      </c>
      <c r="L66">
        <f t="shared" si="2"/>
        <v>0</v>
      </c>
      <c r="M66">
        <f t="shared" si="3"/>
        <v>0</v>
      </c>
    </row>
    <row r="67" spans="1:13">
      <c r="A67">
        <f t="shared" si="4"/>
        <v>33</v>
      </c>
      <c r="B67" t="s">
        <v>192</v>
      </c>
      <c r="C67" t="s">
        <v>91</v>
      </c>
      <c r="D67" s="1">
        <v>45707</v>
      </c>
      <c r="E67" t="s">
        <v>191</v>
      </c>
      <c r="F67" s="2" t="b">
        <v>1</v>
      </c>
      <c r="G67" s="2" t="b">
        <v>1</v>
      </c>
      <c r="H67" s="2" t="b">
        <v>0</v>
      </c>
      <c r="I67" s="2" t="b">
        <v>0</v>
      </c>
      <c r="J67">
        <f t="shared" ref="J67:J130" si="5" xml:space="preserve"> IF(AND(E67="child",F67=TRUE), 1,0)</f>
        <v>1</v>
      </c>
      <c r="K67">
        <f t="shared" ref="K67:K130" si="6" xml:space="preserve"> IF(AND(E67="peer",F67=TRUE), 1,0)</f>
        <v>0</v>
      </c>
      <c r="L67">
        <f t="shared" ref="L67:L130" si="7" xml:space="preserve"> IF(AND(E67="short",F67=TRUE), 1,0)</f>
        <v>0</v>
      </c>
      <c r="M67">
        <f t="shared" ref="M67:M130" si="8" xml:space="preserve"> IF(AND(E67="creative",F67=TRUE), 1,0)</f>
        <v>0</v>
      </c>
    </row>
    <row r="68" spans="1:13">
      <c r="A68">
        <f t="shared" si="4"/>
        <v>34</v>
      </c>
      <c r="E68" t="s">
        <v>193</v>
      </c>
      <c r="F68" s="2" t="b">
        <v>0</v>
      </c>
      <c r="G68" s="2" t="b">
        <v>0</v>
      </c>
      <c r="H68" s="2" t="b">
        <v>1</v>
      </c>
      <c r="I68" s="2" t="b">
        <v>0</v>
      </c>
      <c r="J68">
        <f t="shared" si="5"/>
        <v>0</v>
      </c>
      <c r="K68">
        <f t="shared" si="6"/>
        <v>0</v>
      </c>
      <c r="L68">
        <f t="shared" si="7"/>
        <v>0</v>
      </c>
      <c r="M68">
        <f t="shared" si="8"/>
        <v>0</v>
      </c>
    </row>
    <row r="69" spans="1:13">
      <c r="A69">
        <f t="shared" si="4"/>
        <v>34</v>
      </c>
      <c r="E69" t="s">
        <v>193</v>
      </c>
      <c r="F69" s="2" t="b">
        <v>0</v>
      </c>
      <c r="G69" s="2" t="b">
        <v>0</v>
      </c>
      <c r="H69" s="2" t="b">
        <v>0</v>
      </c>
      <c r="I69" s="2" t="b">
        <v>1</v>
      </c>
      <c r="J69">
        <f t="shared" si="5"/>
        <v>0</v>
      </c>
      <c r="K69">
        <f t="shared" si="6"/>
        <v>0</v>
      </c>
      <c r="L69">
        <f t="shared" si="7"/>
        <v>0</v>
      </c>
      <c r="M69">
        <f t="shared" si="8"/>
        <v>0</v>
      </c>
    </row>
    <row r="70" spans="1:13">
      <c r="A70">
        <f t="shared" ref="A70:A133" si="9">A68+1</f>
        <v>35</v>
      </c>
      <c r="B70" t="s">
        <v>190</v>
      </c>
      <c r="C70" s="3" t="s">
        <v>92</v>
      </c>
      <c r="D70" s="1">
        <v>45707</v>
      </c>
      <c r="E70" t="s">
        <v>194</v>
      </c>
      <c r="F70" s="2" t="b">
        <v>1</v>
      </c>
      <c r="G70" s="2" t="b">
        <v>1</v>
      </c>
      <c r="H70" s="2" t="b">
        <v>0</v>
      </c>
      <c r="I70" s="2" t="b">
        <v>0</v>
      </c>
      <c r="J70">
        <f t="shared" si="5"/>
        <v>0</v>
      </c>
      <c r="K70">
        <f t="shared" si="6"/>
        <v>0</v>
      </c>
      <c r="L70">
        <f t="shared" si="7"/>
        <v>1</v>
      </c>
      <c r="M70">
        <f t="shared" si="8"/>
        <v>0</v>
      </c>
    </row>
    <row r="71" spans="1:13">
      <c r="A71">
        <f t="shared" si="9"/>
        <v>35</v>
      </c>
      <c r="E71" t="s">
        <v>194</v>
      </c>
      <c r="F71" s="2" t="b">
        <v>0</v>
      </c>
      <c r="G71" s="2" t="b">
        <v>0</v>
      </c>
      <c r="H71" s="2" t="b">
        <v>1</v>
      </c>
      <c r="I71" s="2" t="b">
        <v>0</v>
      </c>
      <c r="J71">
        <f t="shared" si="5"/>
        <v>0</v>
      </c>
      <c r="K71">
        <f t="shared" si="6"/>
        <v>0</v>
      </c>
      <c r="L71">
        <f t="shared" si="7"/>
        <v>0</v>
      </c>
      <c r="M71">
        <f t="shared" si="8"/>
        <v>0</v>
      </c>
    </row>
    <row r="72" spans="1:13">
      <c r="A72">
        <f t="shared" si="9"/>
        <v>36</v>
      </c>
      <c r="B72" t="s">
        <v>192</v>
      </c>
      <c r="C72" t="s">
        <v>93</v>
      </c>
      <c r="D72" s="1">
        <v>45707</v>
      </c>
      <c r="E72" t="s">
        <v>195</v>
      </c>
      <c r="F72" s="2" t="b">
        <v>1</v>
      </c>
      <c r="G72" s="2" t="b">
        <v>1</v>
      </c>
      <c r="H72" s="2" t="b">
        <v>0</v>
      </c>
      <c r="I72" s="2" t="b">
        <v>0</v>
      </c>
      <c r="J72">
        <f t="shared" si="5"/>
        <v>0</v>
      </c>
      <c r="K72">
        <f t="shared" si="6"/>
        <v>0</v>
      </c>
      <c r="L72">
        <f t="shared" si="7"/>
        <v>0</v>
      </c>
      <c r="M72">
        <f t="shared" si="8"/>
        <v>1</v>
      </c>
    </row>
    <row r="73" spans="1:13">
      <c r="A73">
        <f t="shared" si="9"/>
        <v>36</v>
      </c>
      <c r="B73" t="s">
        <v>190</v>
      </c>
      <c r="C73" t="s">
        <v>94</v>
      </c>
      <c r="D73" s="1">
        <v>45707</v>
      </c>
      <c r="E73" t="s">
        <v>195</v>
      </c>
      <c r="F73" s="2" t="b">
        <v>1</v>
      </c>
      <c r="G73" s="2" t="b">
        <v>1</v>
      </c>
      <c r="H73" s="2" t="b">
        <v>0</v>
      </c>
      <c r="I73" s="2" t="b">
        <v>0</v>
      </c>
      <c r="J73">
        <f t="shared" si="5"/>
        <v>0</v>
      </c>
      <c r="K73">
        <f t="shared" si="6"/>
        <v>0</v>
      </c>
      <c r="L73">
        <f t="shared" si="7"/>
        <v>0</v>
      </c>
      <c r="M73">
        <f t="shared" si="8"/>
        <v>1</v>
      </c>
    </row>
    <row r="74" spans="1:13">
      <c r="A74">
        <f t="shared" si="9"/>
        <v>37</v>
      </c>
      <c r="E74" t="s">
        <v>191</v>
      </c>
      <c r="F74" s="2" t="b">
        <v>0</v>
      </c>
      <c r="G74" s="2" t="b">
        <v>0</v>
      </c>
      <c r="H74" s="2" t="b">
        <v>1</v>
      </c>
      <c r="I74" s="2" t="b">
        <v>0</v>
      </c>
      <c r="J74">
        <f t="shared" si="5"/>
        <v>0</v>
      </c>
      <c r="K74">
        <f t="shared" si="6"/>
        <v>0</v>
      </c>
      <c r="L74">
        <f t="shared" si="7"/>
        <v>0</v>
      </c>
      <c r="M74">
        <f t="shared" si="8"/>
        <v>0</v>
      </c>
    </row>
    <row r="75" spans="1:13">
      <c r="A75">
        <f t="shared" si="9"/>
        <v>37</v>
      </c>
      <c r="E75" t="s">
        <v>191</v>
      </c>
      <c r="F75" s="2" t="b">
        <v>0</v>
      </c>
      <c r="G75" s="2" t="b">
        <v>0</v>
      </c>
      <c r="H75" s="2" t="b">
        <v>1</v>
      </c>
      <c r="I75" s="2" t="b">
        <v>0</v>
      </c>
      <c r="J75">
        <f t="shared" si="5"/>
        <v>0</v>
      </c>
      <c r="K75">
        <f t="shared" si="6"/>
        <v>0</v>
      </c>
      <c r="L75">
        <f t="shared" si="7"/>
        <v>0</v>
      </c>
      <c r="M75">
        <f t="shared" si="8"/>
        <v>0</v>
      </c>
    </row>
    <row r="76" spans="1:13">
      <c r="A76">
        <f t="shared" si="9"/>
        <v>38</v>
      </c>
      <c r="B76" t="s">
        <v>192</v>
      </c>
      <c r="C76" t="s">
        <v>95</v>
      </c>
      <c r="D76" s="1">
        <v>45707</v>
      </c>
      <c r="E76" t="s">
        <v>193</v>
      </c>
      <c r="F76" s="2" t="b">
        <v>1</v>
      </c>
      <c r="G76" s="2" t="b">
        <v>1</v>
      </c>
      <c r="H76" s="2" t="b">
        <v>0</v>
      </c>
      <c r="I76" s="2" t="b">
        <v>0</v>
      </c>
      <c r="J76">
        <f t="shared" si="5"/>
        <v>0</v>
      </c>
      <c r="K76">
        <f t="shared" si="6"/>
        <v>1</v>
      </c>
      <c r="L76">
        <f t="shared" si="7"/>
        <v>0</v>
      </c>
      <c r="M76">
        <f t="shared" si="8"/>
        <v>0</v>
      </c>
    </row>
    <row r="77" spans="1:13">
      <c r="A77">
        <f t="shared" si="9"/>
        <v>38</v>
      </c>
      <c r="B77" t="s">
        <v>190</v>
      </c>
      <c r="C77" t="s">
        <v>96</v>
      </c>
      <c r="D77" s="1">
        <v>45707</v>
      </c>
      <c r="E77" t="s">
        <v>193</v>
      </c>
      <c r="F77" s="2" t="b">
        <v>1</v>
      </c>
      <c r="G77" s="2" t="b">
        <v>1</v>
      </c>
      <c r="H77" s="2" t="b">
        <v>0</v>
      </c>
      <c r="I77" s="2" t="b">
        <v>0</v>
      </c>
      <c r="J77">
        <f t="shared" si="5"/>
        <v>0</v>
      </c>
      <c r="K77">
        <f t="shared" si="6"/>
        <v>1</v>
      </c>
      <c r="L77">
        <f t="shared" si="7"/>
        <v>0</v>
      </c>
      <c r="M77">
        <f t="shared" si="8"/>
        <v>0</v>
      </c>
    </row>
    <row r="78" spans="1:13">
      <c r="A78">
        <f t="shared" si="9"/>
        <v>39</v>
      </c>
      <c r="B78" t="s">
        <v>192</v>
      </c>
      <c r="C78" t="s">
        <v>97</v>
      </c>
      <c r="D78" s="1">
        <v>45707</v>
      </c>
      <c r="E78" t="s">
        <v>194</v>
      </c>
      <c r="F78" s="2" t="b">
        <v>1</v>
      </c>
      <c r="G78" s="2" t="b">
        <v>1</v>
      </c>
      <c r="H78" s="2" t="b">
        <v>0</v>
      </c>
      <c r="I78" s="2" t="b">
        <v>0</v>
      </c>
      <c r="J78">
        <f t="shared" si="5"/>
        <v>0</v>
      </c>
      <c r="K78">
        <f t="shared" si="6"/>
        <v>0</v>
      </c>
      <c r="L78">
        <f t="shared" si="7"/>
        <v>1</v>
      </c>
      <c r="M78">
        <f t="shared" si="8"/>
        <v>0</v>
      </c>
    </row>
    <row r="79" spans="1:13">
      <c r="A79">
        <f t="shared" si="9"/>
        <v>39</v>
      </c>
      <c r="B79" t="s">
        <v>190</v>
      </c>
      <c r="C79" t="s">
        <v>98</v>
      </c>
      <c r="D79" s="1">
        <v>45707</v>
      </c>
      <c r="E79" t="s">
        <v>194</v>
      </c>
      <c r="F79" s="2" t="b">
        <v>1</v>
      </c>
      <c r="G79" s="2" t="b">
        <v>1</v>
      </c>
      <c r="H79" s="2" t="b">
        <v>0</v>
      </c>
      <c r="I79" s="2" t="b">
        <v>0</v>
      </c>
      <c r="J79">
        <f t="shared" si="5"/>
        <v>0</v>
      </c>
      <c r="K79">
        <f t="shared" si="6"/>
        <v>0</v>
      </c>
      <c r="L79">
        <f t="shared" si="7"/>
        <v>1</v>
      </c>
      <c r="M79">
        <f t="shared" si="8"/>
        <v>0</v>
      </c>
    </row>
    <row r="80" spans="1:13">
      <c r="A80">
        <f t="shared" si="9"/>
        <v>40</v>
      </c>
      <c r="B80" t="s">
        <v>192</v>
      </c>
      <c r="C80" t="s">
        <v>99</v>
      </c>
      <c r="D80" s="1">
        <v>45707</v>
      </c>
      <c r="E80" t="s">
        <v>195</v>
      </c>
      <c r="F80" s="2" t="b">
        <v>1</v>
      </c>
      <c r="G80" s="2" t="b">
        <v>1</v>
      </c>
      <c r="H80" s="2" t="b">
        <v>0</v>
      </c>
      <c r="I80" s="2" t="b">
        <v>0</v>
      </c>
      <c r="J80">
        <f t="shared" si="5"/>
        <v>0</v>
      </c>
      <c r="K80">
        <f t="shared" si="6"/>
        <v>0</v>
      </c>
      <c r="L80">
        <f t="shared" si="7"/>
        <v>0</v>
      </c>
      <c r="M80">
        <f t="shared" si="8"/>
        <v>1</v>
      </c>
    </row>
    <row r="81" spans="1:13">
      <c r="A81">
        <f t="shared" si="9"/>
        <v>40</v>
      </c>
      <c r="E81" t="s">
        <v>195</v>
      </c>
      <c r="F81" s="2" t="b">
        <v>0</v>
      </c>
      <c r="G81" s="2" t="b">
        <v>0</v>
      </c>
      <c r="H81" s="2" t="b">
        <v>1</v>
      </c>
      <c r="I81" s="2" t="b">
        <v>0</v>
      </c>
      <c r="J81">
        <f t="shared" si="5"/>
        <v>0</v>
      </c>
      <c r="K81">
        <f t="shared" si="6"/>
        <v>0</v>
      </c>
      <c r="L81">
        <f t="shared" si="7"/>
        <v>0</v>
      </c>
      <c r="M81">
        <f t="shared" si="8"/>
        <v>0</v>
      </c>
    </row>
    <row r="82" spans="1:13">
      <c r="A82">
        <f t="shared" si="9"/>
        <v>41</v>
      </c>
      <c r="B82" t="s">
        <v>190</v>
      </c>
      <c r="C82" t="s">
        <v>100</v>
      </c>
      <c r="D82" s="1">
        <v>45708</v>
      </c>
      <c r="E82" t="s">
        <v>191</v>
      </c>
      <c r="F82" s="2" t="b">
        <v>1</v>
      </c>
      <c r="G82" s="2" t="b">
        <v>1</v>
      </c>
      <c r="H82" s="2" t="b">
        <v>0</v>
      </c>
      <c r="I82" s="2" t="b">
        <v>0</v>
      </c>
      <c r="J82">
        <f t="shared" si="5"/>
        <v>1</v>
      </c>
      <c r="K82">
        <f t="shared" si="6"/>
        <v>0</v>
      </c>
      <c r="L82">
        <f t="shared" si="7"/>
        <v>0</v>
      </c>
      <c r="M82">
        <f t="shared" si="8"/>
        <v>0</v>
      </c>
    </row>
    <row r="83" spans="1:13">
      <c r="A83">
        <f t="shared" si="9"/>
        <v>41</v>
      </c>
      <c r="B83" t="s">
        <v>192</v>
      </c>
      <c r="C83" t="s">
        <v>101</v>
      </c>
      <c r="D83" s="1">
        <v>45708</v>
      </c>
      <c r="E83" t="s">
        <v>191</v>
      </c>
      <c r="F83" s="2" t="b">
        <v>1</v>
      </c>
      <c r="G83" s="2" t="b">
        <v>1</v>
      </c>
      <c r="H83" s="2" t="b">
        <v>0</v>
      </c>
      <c r="I83" s="2" t="b">
        <v>0</v>
      </c>
      <c r="J83">
        <f t="shared" si="5"/>
        <v>1</v>
      </c>
      <c r="K83">
        <f t="shared" si="6"/>
        <v>0</v>
      </c>
      <c r="L83">
        <f t="shared" si="7"/>
        <v>0</v>
      </c>
      <c r="M83">
        <f t="shared" si="8"/>
        <v>0</v>
      </c>
    </row>
    <row r="84" spans="1:13">
      <c r="A84">
        <f t="shared" si="9"/>
        <v>42</v>
      </c>
      <c r="B84" t="s">
        <v>190</v>
      </c>
      <c r="C84" t="s">
        <v>102</v>
      </c>
      <c r="D84" s="1">
        <v>45708</v>
      </c>
      <c r="E84" t="s">
        <v>193</v>
      </c>
      <c r="F84" s="2" t="b">
        <v>1</v>
      </c>
      <c r="G84" s="2" t="b">
        <v>1</v>
      </c>
      <c r="H84" s="2" t="b">
        <v>0</v>
      </c>
      <c r="I84" s="2" t="b">
        <v>0</v>
      </c>
      <c r="J84">
        <f t="shared" si="5"/>
        <v>0</v>
      </c>
      <c r="K84">
        <f t="shared" si="6"/>
        <v>1</v>
      </c>
      <c r="L84">
        <f t="shared" si="7"/>
        <v>0</v>
      </c>
      <c r="M84">
        <f t="shared" si="8"/>
        <v>0</v>
      </c>
    </row>
    <row r="85" spans="1:13">
      <c r="A85">
        <f t="shared" si="9"/>
        <v>42</v>
      </c>
      <c r="E85" t="s">
        <v>193</v>
      </c>
      <c r="F85" s="2" t="b">
        <v>0</v>
      </c>
      <c r="G85" s="2" t="b">
        <v>0</v>
      </c>
      <c r="H85" s="2" t="b">
        <v>0</v>
      </c>
      <c r="I85" s="2" t="b">
        <v>1</v>
      </c>
      <c r="J85">
        <f t="shared" si="5"/>
        <v>0</v>
      </c>
      <c r="K85">
        <f t="shared" si="6"/>
        <v>0</v>
      </c>
      <c r="L85">
        <f t="shared" si="7"/>
        <v>0</v>
      </c>
      <c r="M85">
        <f t="shared" si="8"/>
        <v>0</v>
      </c>
    </row>
    <row r="86" spans="1:13">
      <c r="A86">
        <f t="shared" si="9"/>
        <v>43</v>
      </c>
      <c r="B86" t="s">
        <v>192</v>
      </c>
      <c r="C86" t="s">
        <v>104</v>
      </c>
      <c r="D86" s="1">
        <v>45709</v>
      </c>
      <c r="E86" t="s">
        <v>194</v>
      </c>
      <c r="F86" s="2" t="b">
        <v>1</v>
      </c>
      <c r="G86" s="2" t="b">
        <v>1</v>
      </c>
      <c r="H86" s="2" t="b">
        <v>0</v>
      </c>
      <c r="I86" s="2" t="b">
        <v>0</v>
      </c>
      <c r="J86">
        <f t="shared" si="5"/>
        <v>0</v>
      </c>
      <c r="K86">
        <f t="shared" si="6"/>
        <v>0</v>
      </c>
      <c r="L86">
        <f t="shared" si="7"/>
        <v>1</v>
      </c>
      <c r="M86">
        <f t="shared" si="8"/>
        <v>0</v>
      </c>
    </row>
    <row r="87" spans="1:13">
      <c r="A87">
        <f t="shared" si="9"/>
        <v>43</v>
      </c>
      <c r="E87" t="s">
        <v>194</v>
      </c>
      <c r="F87" s="2" t="b">
        <v>0</v>
      </c>
      <c r="G87" s="2" t="b">
        <v>0</v>
      </c>
      <c r="H87" s="2" t="b">
        <v>1</v>
      </c>
      <c r="I87" s="2" t="b">
        <v>0</v>
      </c>
      <c r="J87">
        <f t="shared" si="5"/>
        <v>0</v>
      </c>
      <c r="K87">
        <f t="shared" si="6"/>
        <v>0</v>
      </c>
      <c r="L87">
        <f t="shared" si="7"/>
        <v>0</v>
      </c>
      <c r="M87">
        <f t="shared" si="8"/>
        <v>0</v>
      </c>
    </row>
    <row r="88" spans="1:13">
      <c r="A88">
        <f t="shared" si="9"/>
        <v>44</v>
      </c>
      <c r="B88" t="s">
        <v>190</v>
      </c>
      <c r="C88" t="s">
        <v>105</v>
      </c>
      <c r="D88" s="1">
        <v>45709</v>
      </c>
      <c r="E88" t="s">
        <v>195</v>
      </c>
      <c r="F88" s="2" t="b">
        <v>1</v>
      </c>
      <c r="G88" s="2" t="b">
        <v>1</v>
      </c>
      <c r="H88" s="2" t="b">
        <v>0</v>
      </c>
      <c r="I88" s="2" t="b">
        <v>0</v>
      </c>
      <c r="J88">
        <f t="shared" si="5"/>
        <v>0</v>
      </c>
      <c r="K88">
        <f t="shared" si="6"/>
        <v>0</v>
      </c>
      <c r="L88">
        <f t="shared" si="7"/>
        <v>0</v>
      </c>
      <c r="M88">
        <f t="shared" si="8"/>
        <v>1</v>
      </c>
    </row>
    <row r="89" spans="1:13">
      <c r="A89">
        <f t="shared" si="9"/>
        <v>44</v>
      </c>
      <c r="E89" t="s">
        <v>195</v>
      </c>
      <c r="F89" s="2" t="b">
        <v>0</v>
      </c>
      <c r="G89" s="2" t="b">
        <v>0</v>
      </c>
      <c r="H89" s="2" t="b">
        <v>0</v>
      </c>
      <c r="I89" s="2" t="b">
        <v>1</v>
      </c>
      <c r="J89">
        <f t="shared" si="5"/>
        <v>0</v>
      </c>
      <c r="K89">
        <f t="shared" si="6"/>
        <v>0</v>
      </c>
      <c r="L89">
        <f t="shared" si="7"/>
        <v>0</v>
      </c>
      <c r="M89">
        <f t="shared" si="8"/>
        <v>0</v>
      </c>
    </row>
    <row r="90" spans="1:13">
      <c r="A90">
        <f t="shared" si="9"/>
        <v>45</v>
      </c>
      <c r="B90" t="s">
        <v>192</v>
      </c>
      <c r="C90" t="s">
        <v>106</v>
      </c>
      <c r="D90" s="1">
        <v>45709</v>
      </c>
      <c r="E90" t="s">
        <v>191</v>
      </c>
      <c r="F90" s="2" t="b">
        <v>1</v>
      </c>
      <c r="G90" s="2" t="b">
        <v>1</v>
      </c>
      <c r="H90" s="2" t="b">
        <v>0</v>
      </c>
      <c r="I90" s="2" t="b">
        <v>0</v>
      </c>
      <c r="J90">
        <f t="shared" si="5"/>
        <v>1</v>
      </c>
      <c r="K90">
        <f t="shared" si="6"/>
        <v>0</v>
      </c>
      <c r="L90">
        <f t="shared" si="7"/>
        <v>0</v>
      </c>
      <c r="M90">
        <f t="shared" si="8"/>
        <v>0</v>
      </c>
    </row>
    <row r="91" spans="1:13">
      <c r="A91">
        <f t="shared" si="9"/>
        <v>45</v>
      </c>
      <c r="B91" t="s">
        <v>190</v>
      </c>
      <c r="C91" t="s">
        <v>107</v>
      </c>
      <c r="D91" s="1">
        <v>45709</v>
      </c>
      <c r="E91" t="s">
        <v>191</v>
      </c>
      <c r="F91" s="2" t="b">
        <v>1</v>
      </c>
      <c r="G91" s="2" t="b">
        <v>1</v>
      </c>
      <c r="H91" s="2" t="b">
        <v>0</v>
      </c>
      <c r="I91" s="2" t="b">
        <v>0</v>
      </c>
      <c r="J91">
        <f t="shared" si="5"/>
        <v>1</v>
      </c>
      <c r="K91">
        <f t="shared" si="6"/>
        <v>0</v>
      </c>
      <c r="L91">
        <f t="shared" si="7"/>
        <v>0</v>
      </c>
      <c r="M91">
        <f t="shared" si="8"/>
        <v>0</v>
      </c>
    </row>
    <row r="92" spans="1:13">
      <c r="A92">
        <f t="shared" si="9"/>
        <v>46</v>
      </c>
      <c r="B92" t="s">
        <v>192</v>
      </c>
      <c r="C92" t="s">
        <v>108</v>
      </c>
      <c r="D92" s="1">
        <v>45709</v>
      </c>
      <c r="E92" t="s">
        <v>193</v>
      </c>
      <c r="F92" s="2" t="b">
        <v>1</v>
      </c>
      <c r="G92" s="2" t="b">
        <v>1</v>
      </c>
      <c r="H92" s="2" t="b">
        <v>0</v>
      </c>
      <c r="I92" s="2" t="b">
        <v>0</v>
      </c>
      <c r="J92">
        <f t="shared" si="5"/>
        <v>0</v>
      </c>
      <c r="K92">
        <f t="shared" si="6"/>
        <v>1</v>
      </c>
      <c r="L92">
        <f t="shared" si="7"/>
        <v>0</v>
      </c>
      <c r="M92">
        <f t="shared" si="8"/>
        <v>0</v>
      </c>
    </row>
    <row r="93" spans="1:13">
      <c r="A93">
        <f t="shared" si="9"/>
        <v>46</v>
      </c>
      <c r="E93" t="s">
        <v>193</v>
      </c>
      <c r="F93" s="2" t="b">
        <v>0</v>
      </c>
      <c r="G93" s="2" t="b">
        <v>0</v>
      </c>
      <c r="H93" s="2" t="b">
        <v>1</v>
      </c>
      <c r="I93" s="2" t="b">
        <v>0</v>
      </c>
      <c r="J93">
        <f t="shared" si="5"/>
        <v>0</v>
      </c>
      <c r="K93">
        <f t="shared" si="6"/>
        <v>0</v>
      </c>
      <c r="L93">
        <f t="shared" si="7"/>
        <v>0</v>
      </c>
      <c r="M93">
        <f t="shared" si="8"/>
        <v>0</v>
      </c>
    </row>
    <row r="94" spans="1:13">
      <c r="A94">
        <f t="shared" si="9"/>
        <v>47</v>
      </c>
      <c r="B94" t="s">
        <v>190</v>
      </c>
      <c r="C94" t="s">
        <v>109</v>
      </c>
      <c r="D94" s="1">
        <v>45709</v>
      </c>
      <c r="E94" t="s">
        <v>194</v>
      </c>
      <c r="F94" s="2" t="b">
        <v>1</v>
      </c>
      <c r="G94" s="2" t="b">
        <v>1</v>
      </c>
      <c r="H94" s="2" t="b">
        <v>0</v>
      </c>
      <c r="I94" s="2" t="b">
        <v>0</v>
      </c>
      <c r="J94">
        <f t="shared" si="5"/>
        <v>0</v>
      </c>
      <c r="K94">
        <f t="shared" si="6"/>
        <v>0</v>
      </c>
      <c r="L94">
        <f t="shared" si="7"/>
        <v>1</v>
      </c>
      <c r="M94">
        <f t="shared" si="8"/>
        <v>0</v>
      </c>
    </row>
    <row r="95" spans="1:13">
      <c r="A95">
        <f t="shared" si="9"/>
        <v>47</v>
      </c>
      <c r="D95" s="1"/>
      <c r="E95" t="s">
        <v>194</v>
      </c>
      <c r="F95" s="2" t="b">
        <v>0</v>
      </c>
      <c r="G95" s="2" t="b">
        <v>0</v>
      </c>
      <c r="H95" s="2" t="b">
        <v>1</v>
      </c>
      <c r="I95" s="2" t="b">
        <v>0</v>
      </c>
      <c r="J95">
        <f t="shared" si="5"/>
        <v>0</v>
      </c>
      <c r="K95">
        <f t="shared" si="6"/>
        <v>0</v>
      </c>
      <c r="L95">
        <f t="shared" si="7"/>
        <v>0</v>
      </c>
      <c r="M95">
        <f t="shared" si="8"/>
        <v>0</v>
      </c>
    </row>
    <row r="96" spans="1:13">
      <c r="A96">
        <f t="shared" si="9"/>
        <v>48</v>
      </c>
      <c r="B96" t="s">
        <v>192</v>
      </c>
      <c r="C96" t="s">
        <v>110</v>
      </c>
      <c r="D96" s="1">
        <v>45709</v>
      </c>
      <c r="E96" t="s">
        <v>195</v>
      </c>
      <c r="F96" s="2" t="b">
        <v>1</v>
      </c>
      <c r="G96" s="2" t="b">
        <v>1</v>
      </c>
      <c r="H96" s="2" t="b">
        <v>0</v>
      </c>
      <c r="I96" s="2" t="b">
        <v>0</v>
      </c>
      <c r="J96">
        <f t="shared" si="5"/>
        <v>0</v>
      </c>
      <c r="K96">
        <f t="shared" si="6"/>
        <v>0</v>
      </c>
      <c r="L96">
        <f t="shared" si="7"/>
        <v>0</v>
      </c>
      <c r="M96">
        <f t="shared" si="8"/>
        <v>1</v>
      </c>
    </row>
    <row r="97" spans="1:18">
      <c r="A97">
        <f t="shared" si="9"/>
        <v>48</v>
      </c>
      <c r="B97" t="s">
        <v>190</v>
      </c>
      <c r="C97" t="s">
        <v>111</v>
      </c>
      <c r="D97" s="1">
        <v>45709</v>
      </c>
      <c r="E97" t="s">
        <v>195</v>
      </c>
      <c r="F97" s="2" t="b">
        <v>1</v>
      </c>
      <c r="G97" s="2" t="b">
        <v>1</v>
      </c>
      <c r="H97" s="2" t="b">
        <v>0</v>
      </c>
      <c r="I97" s="2" t="b">
        <v>0</v>
      </c>
      <c r="J97">
        <f t="shared" si="5"/>
        <v>0</v>
      </c>
      <c r="K97">
        <f t="shared" si="6"/>
        <v>0</v>
      </c>
      <c r="L97">
        <f t="shared" si="7"/>
        <v>0</v>
      </c>
      <c r="M97">
        <f t="shared" si="8"/>
        <v>1</v>
      </c>
    </row>
    <row r="98" spans="1:18">
      <c r="A98">
        <f t="shared" si="9"/>
        <v>49</v>
      </c>
      <c r="B98" t="s">
        <v>192</v>
      </c>
      <c r="C98" t="s">
        <v>112</v>
      </c>
      <c r="D98" s="1">
        <v>45709</v>
      </c>
      <c r="E98" t="s">
        <v>191</v>
      </c>
      <c r="F98" s="2" t="b">
        <v>1</v>
      </c>
      <c r="G98" s="2" t="b">
        <v>1</v>
      </c>
      <c r="H98" s="2" t="b">
        <v>0</v>
      </c>
      <c r="I98" s="2" t="b">
        <v>0</v>
      </c>
      <c r="J98">
        <f t="shared" si="5"/>
        <v>1</v>
      </c>
      <c r="K98">
        <f t="shared" si="6"/>
        <v>0</v>
      </c>
      <c r="L98">
        <f t="shared" si="7"/>
        <v>0</v>
      </c>
      <c r="M98">
        <f t="shared" si="8"/>
        <v>0</v>
      </c>
    </row>
    <row r="99" spans="1:18">
      <c r="A99">
        <f t="shared" si="9"/>
        <v>49</v>
      </c>
      <c r="E99" t="s">
        <v>191</v>
      </c>
      <c r="F99" s="2" t="b">
        <v>0</v>
      </c>
      <c r="G99" s="2" t="b">
        <v>0</v>
      </c>
      <c r="H99" s="2" t="b">
        <v>0</v>
      </c>
      <c r="I99" s="2" t="b">
        <v>1</v>
      </c>
      <c r="J99">
        <f t="shared" si="5"/>
        <v>0</v>
      </c>
      <c r="K99">
        <f t="shared" si="6"/>
        <v>0</v>
      </c>
      <c r="L99">
        <f t="shared" si="7"/>
        <v>0</v>
      </c>
      <c r="M99">
        <f t="shared" si="8"/>
        <v>0</v>
      </c>
      <c r="Q99" t="s">
        <v>196</v>
      </c>
      <c r="R99">
        <f>SUM(J2:J175)</f>
        <v>35</v>
      </c>
    </row>
    <row r="100" spans="1:18">
      <c r="A100">
        <f t="shared" si="9"/>
        <v>50</v>
      </c>
      <c r="B100" t="s">
        <v>190</v>
      </c>
      <c r="C100" t="s">
        <v>113</v>
      </c>
      <c r="D100" s="1">
        <v>45709</v>
      </c>
      <c r="E100" t="s">
        <v>193</v>
      </c>
      <c r="F100" s="2" t="b">
        <v>1</v>
      </c>
      <c r="G100" s="2" t="b">
        <v>1</v>
      </c>
      <c r="H100" s="2" t="b">
        <v>0</v>
      </c>
      <c r="I100" s="2" t="b">
        <v>0</v>
      </c>
      <c r="J100">
        <f t="shared" si="5"/>
        <v>0</v>
      </c>
      <c r="K100">
        <f t="shared" si="6"/>
        <v>1</v>
      </c>
      <c r="L100">
        <f t="shared" si="7"/>
        <v>0</v>
      </c>
      <c r="M100">
        <f t="shared" si="8"/>
        <v>0</v>
      </c>
      <c r="Q100" t="s">
        <v>197</v>
      </c>
      <c r="R100">
        <f>SUM(K2:K176)</f>
        <v>34</v>
      </c>
    </row>
    <row r="101" spans="1:18">
      <c r="A101">
        <f t="shared" si="9"/>
        <v>50</v>
      </c>
      <c r="E101" t="s">
        <v>193</v>
      </c>
      <c r="F101" s="2" t="b">
        <v>0</v>
      </c>
      <c r="G101" s="2" t="b">
        <v>0</v>
      </c>
      <c r="H101" s="2" t="b">
        <v>0</v>
      </c>
      <c r="I101" s="2" t="b">
        <v>1</v>
      </c>
      <c r="J101">
        <f t="shared" si="5"/>
        <v>0</v>
      </c>
      <c r="K101">
        <f t="shared" si="6"/>
        <v>0</v>
      </c>
      <c r="L101">
        <f t="shared" si="7"/>
        <v>0</v>
      </c>
      <c r="M101">
        <f t="shared" si="8"/>
        <v>0</v>
      </c>
      <c r="Q101" t="s">
        <v>198</v>
      </c>
      <c r="R101">
        <f>SUM(L2:L175)</f>
        <v>32</v>
      </c>
    </row>
    <row r="102" spans="1:18">
      <c r="A102">
        <f t="shared" si="9"/>
        <v>51</v>
      </c>
      <c r="C102" t="s">
        <v>114</v>
      </c>
      <c r="D102" s="1">
        <v>45709</v>
      </c>
      <c r="E102" t="s">
        <v>194</v>
      </c>
      <c r="F102" s="2" t="b">
        <v>1</v>
      </c>
      <c r="G102" s="2" t="b">
        <v>1</v>
      </c>
      <c r="H102" s="2" t="b">
        <v>0</v>
      </c>
      <c r="I102" s="2" t="b">
        <v>0</v>
      </c>
      <c r="J102">
        <f t="shared" si="5"/>
        <v>0</v>
      </c>
      <c r="K102">
        <f t="shared" si="6"/>
        <v>0</v>
      </c>
      <c r="L102">
        <f t="shared" si="7"/>
        <v>1</v>
      </c>
      <c r="M102">
        <f t="shared" si="8"/>
        <v>0</v>
      </c>
      <c r="Q102" t="s">
        <v>199</v>
      </c>
      <c r="R102">
        <f>SUM(M2:M175)</f>
        <v>33</v>
      </c>
    </row>
    <row r="103" spans="1:18">
      <c r="A103">
        <f t="shared" si="9"/>
        <v>51</v>
      </c>
      <c r="C103" t="s">
        <v>115</v>
      </c>
      <c r="D103" s="1">
        <v>45709</v>
      </c>
      <c r="E103" t="s">
        <v>194</v>
      </c>
      <c r="F103" s="2" t="b">
        <v>1</v>
      </c>
      <c r="G103" s="2" t="b">
        <v>1</v>
      </c>
      <c r="H103" s="2" t="b">
        <v>0</v>
      </c>
      <c r="I103" s="2" t="b">
        <v>0</v>
      </c>
      <c r="J103">
        <f t="shared" si="5"/>
        <v>0</v>
      </c>
      <c r="K103">
        <f t="shared" si="6"/>
        <v>0</v>
      </c>
      <c r="L103">
        <f t="shared" si="7"/>
        <v>1</v>
      </c>
      <c r="M103">
        <f t="shared" si="8"/>
        <v>0</v>
      </c>
    </row>
    <row r="104" spans="1:18">
      <c r="A104">
        <f t="shared" si="9"/>
        <v>52</v>
      </c>
      <c r="B104" t="s">
        <v>190</v>
      </c>
      <c r="C104" t="s">
        <v>116</v>
      </c>
      <c r="D104" s="1">
        <v>45713</v>
      </c>
      <c r="E104" t="s">
        <v>195</v>
      </c>
      <c r="F104" s="2" t="b">
        <v>1</v>
      </c>
      <c r="G104" s="2" t="b">
        <v>1</v>
      </c>
      <c r="H104" s="2" t="b">
        <v>0</v>
      </c>
      <c r="I104" s="2" t="b">
        <v>0</v>
      </c>
      <c r="J104">
        <f t="shared" si="5"/>
        <v>0</v>
      </c>
      <c r="K104">
        <f t="shared" si="6"/>
        <v>0</v>
      </c>
      <c r="L104">
        <f t="shared" si="7"/>
        <v>0</v>
      </c>
      <c r="M104">
        <f t="shared" si="8"/>
        <v>1</v>
      </c>
      <c r="Q104" t="s">
        <v>200</v>
      </c>
      <c r="R104">
        <f>COUNTIF(H2:H157, TRUE)</f>
        <v>22</v>
      </c>
    </row>
    <row r="105" spans="1:18">
      <c r="A105">
        <f t="shared" si="9"/>
        <v>52</v>
      </c>
      <c r="B105" t="s">
        <v>192</v>
      </c>
      <c r="C105" t="s">
        <v>117</v>
      </c>
      <c r="D105" s="1">
        <v>45713</v>
      </c>
      <c r="E105" t="s">
        <v>195</v>
      </c>
      <c r="F105" s="2" t="b">
        <v>1</v>
      </c>
      <c r="G105" s="2" t="b">
        <v>1</v>
      </c>
      <c r="H105" s="2" t="b">
        <v>0</v>
      </c>
      <c r="I105" s="2" t="b">
        <v>0</v>
      </c>
      <c r="J105">
        <f t="shared" si="5"/>
        <v>0</v>
      </c>
      <c r="K105">
        <f t="shared" si="6"/>
        <v>0</v>
      </c>
      <c r="L105">
        <f t="shared" si="7"/>
        <v>0</v>
      </c>
      <c r="M105">
        <f t="shared" si="8"/>
        <v>1</v>
      </c>
    </row>
    <row r="106" spans="1:18">
      <c r="A106">
        <f t="shared" si="9"/>
        <v>53</v>
      </c>
      <c r="B106" t="s">
        <v>192</v>
      </c>
      <c r="C106" t="s">
        <v>118</v>
      </c>
      <c r="D106" s="1">
        <v>45713</v>
      </c>
      <c r="E106" t="s">
        <v>191</v>
      </c>
      <c r="F106" s="2" t="b">
        <v>1</v>
      </c>
      <c r="G106" s="2" t="b">
        <v>1</v>
      </c>
      <c r="H106" s="2" t="b">
        <v>0</v>
      </c>
      <c r="I106" s="2" t="b">
        <v>0</v>
      </c>
      <c r="J106">
        <f t="shared" si="5"/>
        <v>1</v>
      </c>
      <c r="K106">
        <f t="shared" si="6"/>
        <v>0</v>
      </c>
      <c r="L106">
        <f t="shared" si="7"/>
        <v>0</v>
      </c>
      <c r="M106">
        <f t="shared" si="8"/>
        <v>0</v>
      </c>
    </row>
    <row r="107" spans="1:18">
      <c r="A107">
        <f t="shared" si="9"/>
        <v>53</v>
      </c>
      <c r="B107" t="s">
        <v>190</v>
      </c>
      <c r="C107" t="s">
        <v>119</v>
      </c>
      <c r="D107" s="1">
        <v>45713</v>
      </c>
      <c r="E107" t="s">
        <v>191</v>
      </c>
      <c r="F107" s="2" t="b">
        <v>1</v>
      </c>
      <c r="G107" s="2" t="b">
        <v>1</v>
      </c>
      <c r="H107" s="2" t="b">
        <v>0</v>
      </c>
      <c r="I107" s="2" t="b">
        <v>0</v>
      </c>
      <c r="J107">
        <f t="shared" si="5"/>
        <v>1</v>
      </c>
      <c r="K107">
        <f t="shared" si="6"/>
        <v>0</v>
      </c>
      <c r="L107">
        <f t="shared" si="7"/>
        <v>0</v>
      </c>
      <c r="M107">
        <f t="shared" si="8"/>
        <v>0</v>
      </c>
    </row>
    <row r="108" spans="1:18">
      <c r="A108">
        <f t="shared" si="9"/>
        <v>54</v>
      </c>
      <c r="B108" t="s">
        <v>192</v>
      </c>
      <c r="C108" t="s">
        <v>120</v>
      </c>
      <c r="D108" s="1">
        <v>45713</v>
      </c>
      <c r="E108" t="s">
        <v>193</v>
      </c>
      <c r="F108" s="2" t="b">
        <v>1</v>
      </c>
      <c r="G108" s="2" t="b">
        <v>1</v>
      </c>
      <c r="H108" s="2" t="b">
        <v>0</v>
      </c>
      <c r="I108" s="2" t="b">
        <v>0</v>
      </c>
      <c r="J108">
        <f t="shared" si="5"/>
        <v>0</v>
      </c>
      <c r="K108">
        <f t="shared" si="6"/>
        <v>1</v>
      </c>
      <c r="L108">
        <f t="shared" si="7"/>
        <v>0</v>
      </c>
      <c r="M108">
        <f t="shared" si="8"/>
        <v>0</v>
      </c>
    </row>
    <row r="109" spans="1:18">
      <c r="A109">
        <f t="shared" si="9"/>
        <v>54</v>
      </c>
      <c r="E109" t="s">
        <v>193</v>
      </c>
      <c r="F109" s="2" t="b">
        <v>0</v>
      </c>
      <c r="G109" s="2" t="b">
        <v>0</v>
      </c>
      <c r="H109" s="2" t="b">
        <v>0</v>
      </c>
      <c r="I109" s="2" t="b">
        <v>1</v>
      </c>
      <c r="J109">
        <f t="shared" si="5"/>
        <v>0</v>
      </c>
      <c r="K109">
        <f t="shared" si="6"/>
        <v>0</v>
      </c>
      <c r="L109">
        <f t="shared" si="7"/>
        <v>0</v>
      </c>
      <c r="M109">
        <f t="shared" si="8"/>
        <v>0</v>
      </c>
    </row>
    <row r="110" spans="1:18">
      <c r="A110">
        <f t="shared" si="9"/>
        <v>55</v>
      </c>
      <c r="B110" t="s">
        <v>192</v>
      </c>
      <c r="C110" t="s">
        <v>121</v>
      </c>
      <c r="D110" s="1">
        <v>45713</v>
      </c>
      <c r="E110" t="s">
        <v>194</v>
      </c>
      <c r="F110" s="2" t="b">
        <v>1</v>
      </c>
      <c r="G110" s="2" t="b">
        <v>1</v>
      </c>
      <c r="H110" s="2" t="b">
        <v>0</v>
      </c>
      <c r="I110" s="2" t="b">
        <v>0</v>
      </c>
      <c r="J110">
        <f t="shared" si="5"/>
        <v>0</v>
      </c>
      <c r="K110">
        <f t="shared" si="6"/>
        <v>0</v>
      </c>
      <c r="L110">
        <f t="shared" si="7"/>
        <v>1</v>
      </c>
      <c r="M110">
        <f t="shared" si="8"/>
        <v>0</v>
      </c>
    </row>
    <row r="111" spans="1:18">
      <c r="A111">
        <f t="shared" si="9"/>
        <v>55</v>
      </c>
      <c r="B111" t="s">
        <v>190</v>
      </c>
      <c r="C111" t="s">
        <v>122</v>
      </c>
      <c r="D111" s="1">
        <v>45713</v>
      </c>
      <c r="E111" t="s">
        <v>194</v>
      </c>
      <c r="F111" s="2" t="b">
        <v>1</v>
      </c>
      <c r="G111" s="2" t="b">
        <v>1</v>
      </c>
      <c r="H111" s="2" t="b">
        <v>0</v>
      </c>
      <c r="I111" s="2" t="b">
        <v>0</v>
      </c>
      <c r="J111">
        <f t="shared" si="5"/>
        <v>0</v>
      </c>
      <c r="K111">
        <f t="shared" si="6"/>
        <v>0</v>
      </c>
      <c r="L111">
        <f t="shared" si="7"/>
        <v>1</v>
      </c>
      <c r="M111">
        <f t="shared" si="8"/>
        <v>0</v>
      </c>
    </row>
    <row r="112" spans="1:18">
      <c r="A112">
        <f t="shared" si="9"/>
        <v>56</v>
      </c>
      <c r="B112" t="s">
        <v>192</v>
      </c>
      <c r="C112" t="s">
        <v>124</v>
      </c>
      <c r="D112" s="1">
        <v>45713</v>
      </c>
      <c r="E112" t="s">
        <v>195</v>
      </c>
      <c r="F112" s="2" t="b">
        <v>1</v>
      </c>
      <c r="G112" s="2" t="b">
        <v>1</v>
      </c>
      <c r="H112" s="2" t="b">
        <v>0</v>
      </c>
      <c r="I112" s="2" t="b">
        <v>0</v>
      </c>
      <c r="J112">
        <f t="shared" si="5"/>
        <v>0</v>
      </c>
      <c r="K112">
        <f t="shared" si="6"/>
        <v>0</v>
      </c>
      <c r="L112">
        <f t="shared" si="7"/>
        <v>0</v>
      </c>
      <c r="M112">
        <f t="shared" si="8"/>
        <v>1</v>
      </c>
    </row>
    <row r="113" spans="1:13">
      <c r="A113">
        <f t="shared" si="9"/>
        <v>56</v>
      </c>
      <c r="B113" t="s">
        <v>190</v>
      </c>
      <c r="C113" t="s">
        <v>125</v>
      </c>
      <c r="D113" s="1">
        <v>45713</v>
      </c>
      <c r="E113" t="s">
        <v>195</v>
      </c>
      <c r="F113" s="2" t="b">
        <v>1</v>
      </c>
      <c r="G113" s="2" t="b">
        <v>1</v>
      </c>
      <c r="H113" s="2" t="b">
        <v>0</v>
      </c>
      <c r="I113" s="2" t="b">
        <v>0</v>
      </c>
      <c r="J113">
        <f t="shared" si="5"/>
        <v>0</v>
      </c>
      <c r="K113">
        <f t="shared" si="6"/>
        <v>0</v>
      </c>
      <c r="L113">
        <f t="shared" si="7"/>
        <v>0</v>
      </c>
      <c r="M113">
        <f t="shared" si="8"/>
        <v>1</v>
      </c>
    </row>
    <row r="114" spans="1:13">
      <c r="A114">
        <f t="shared" si="9"/>
        <v>57</v>
      </c>
      <c r="B114" t="s">
        <v>190</v>
      </c>
      <c r="C114" t="s">
        <v>126</v>
      </c>
      <c r="D114" s="1">
        <v>45713</v>
      </c>
      <c r="E114" t="s">
        <v>191</v>
      </c>
      <c r="F114" s="2" t="b">
        <v>1</v>
      </c>
      <c r="G114" s="2" t="b">
        <v>1</v>
      </c>
      <c r="H114" s="2" t="b">
        <v>0</v>
      </c>
      <c r="I114" s="2" t="b">
        <v>0</v>
      </c>
      <c r="J114">
        <f t="shared" si="5"/>
        <v>1</v>
      </c>
      <c r="K114">
        <f t="shared" si="6"/>
        <v>0</v>
      </c>
      <c r="L114">
        <f t="shared" si="7"/>
        <v>0</v>
      </c>
      <c r="M114">
        <f t="shared" si="8"/>
        <v>0</v>
      </c>
    </row>
    <row r="115" spans="1:13">
      <c r="A115">
        <f t="shared" si="9"/>
        <v>57</v>
      </c>
      <c r="B115" t="s">
        <v>192</v>
      </c>
      <c r="C115" t="s">
        <v>127</v>
      </c>
      <c r="D115" s="1">
        <v>45713</v>
      </c>
      <c r="E115" t="s">
        <v>191</v>
      </c>
      <c r="F115" s="2" t="b">
        <v>1</v>
      </c>
      <c r="G115" s="2" t="b">
        <v>1</v>
      </c>
      <c r="H115" s="2" t="b">
        <v>0</v>
      </c>
      <c r="I115" s="2" t="b">
        <v>0</v>
      </c>
      <c r="J115">
        <f t="shared" si="5"/>
        <v>1</v>
      </c>
      <c r="K115">
        <f t="shared" si="6"/>
        <v>0</v>
      </c>
      <c r="L115">
        <f t="shared" si="7"/>
        <v>0</v>
      </c>
      <c r="M115">
        <f t="shared" si="8"/>
        <v>0</v>
      </c>
    </row>
    <row r="116" spans="1:13">
      <c r="A116">
        <f t="shared" si="9"/>
        <v>58</v>
      </c>
      <c r="B116" t="s">
        <v>190</v>
      </c>
      <c r="C116" t="s">
        <v>128</v>
      </c>
      <c r="D116" s="1">
        <v>45714</v>
      </c>
      <c r="E116" t="s">
        <v>193</v>
      </c>
      <c r="F116" s="2" t="b">
        <v>1</v>
      </c>
      <c r="G116" s="2" t="b">
        <v>1</v>
      </c>
      <c r="H116" s="2" t="b">
        <v>0</v>
      </c>
      <c r="I116" s="2" t="b">
        <v>0</v>
      </c>
      <c r="J116">
        <f t="shared" si="5"/>
        <v>0</v>
      </c>
      <c r="K116">
        <f t="shared" si="6"/>
        <v>1</v>
      </c>
      <c r="L116">
        <f t="shared" si="7"/>
        <v>0</v>
      </c>
      <c r="M116">
        <f t="shared" si="8"/>
        <v>0</v>
      </c>
    </row>
    <row r="117" spans="1:13">
      <c r="A117">
        <f t="shared" si="9"/>
        <v>58</v>
      </c>
      <c r="E117" t="s">
        <v>193</v>
      </c>
      <c r="F117" s="2" t="b">
        <v>0</v>
      </c>
      <c r="G117" s="2" t="b">
        <v>0</v>
      </c>
      <c r="H117" s="2" t="b">
        <v>1</v>
      </c>
      <c r="I117" s="2" t="b">
        <v>0</v>
      </c>
      <c r="J117">
        <f t="shared" si="5"/>
        <v>0</v>
      </c>
      <c r="K117">
        <f t="shared" si="6"/>
        <v>0</v>
      </c>
      <c r="L117">
        <f t="shared" si="7"/>
        <v>0</v>
      </c>
      <c r="M117">
        <f t="shared" si="8"/>
        <v>0</v>
      </c>
    </row>
    <row r="118" spans="1:13">
      <c r="A118">
        <f t="shared" si="9"/>
        <v>59</v>
      </c>
      <c r="B118" t="s">
        <v>192</v>
      </c>
      <c r="C118" s="3" t="s">
        <v>129</v>
      </c>
      <c r="D118" s="1">
        <v>45714</v>
      </c>
      <c r="E118" t="s">
        <v>194</v>
      </c>
      <c r="F118" s="2" t="b">
        <v>1</v>
      </c>
      <c r="G118" s="2" t="b">
        <v>1</v>
      </c>
      <c r="H118" s="2" t="b">
        <v>0</v>
      </c>
      <c r="I118" s="2" t="b">
        <v>0</v>
      </c>
      <c r="J118">
        <f t="shared" si="5"/>
        <v>0</v>
      </c>
      <c r="K118">
        <f t="shared" si="6"/>
        <v>0</v>
      </c>
      <c r="L118">
        <f t="shared" si="7"/>
        <v>1</v>
      </c>
      <c r="M118">
        <f t="shared" si="8"/>
        <v>0</v>
      </c>
    </row>
    <row r="119" spans="1:13">
      <c r="A119">
        <f t="shared" si="9"/>
        <v>59</v>
      </c>
      <c r="B119" t="s">
        <v>190</v>
      </c>
      <c r="C119" t="s">
        <v>130</v>
      </c>
      <c r="D119" s="1">
        <v>45714</v>
      </c>
      <c r="E119" t="s">
        <v>194</v>
      </c>
      <c r="F119" s="2" t="b">
        <v>1</v>
      </c>
      <c r="G119" s="2" t="b">
        <v>1</v>
      </c>
      <c r="H119" s="2" t="b">
        <v>0</v>
      </c>
      <c r="I119" s="2" t="b">
        <v>0</v>
      </c>
      <c r="J119">
        <f t="shared" si="5"/>
        <v>0</v>
      </c>
      <c r="K119">
        <f t="shared" si="6"/>
        <v>0</v>
      </c>
      <c r="L119">
        <f t="shared" si="7"/>
        <v>1</v>
      </c>
      <c r="M119">
        <f t="shared" si="8"/>
        <v>0</v>
      </c>
    </row>
    <row r="120" spans="1:13">
      <c r="A120">
        <f t="shared" si="9"/>
        <v>60</v>
      </c>
      <c r="B120" t="s">
        <v>192</v>
      </c>
      <c r="C120" t="s">
        <v>131</v>
      </c>
      <c r="D120" s="1">
        <v>45714</v>
      </c>
      <c r="E120" t="s">
        <v>195</v>
      </c>
      <c r="F120" s="2" t="b">
        <v>1</v>
      </c>
      <c r="G120" s="2" t="b">
        <v>1</v>
      </c>
      <c r="H120" s="2" t="b">
        <v>0</v>
      </c>
      <c r="I120" s="2" t="b">
        <v>0</v>
      </c>
      <c r="J120">
        <f t="shared" si="5"/>
        <v>0</v>
      </c>
      <c r="K120">
        <f t="shared" si="6"/>
        <v>0</v>
      </c>
      <c r="L120">
        <f t="shared" si="7"/>
        <v>0</v>
      </c>
      <c r="M120">
        <f t="shared" si="8"/>
        <v>1</v>
      </c>
    </row>
    <row r="121" spans="1:13">
      <c r="A121">
        <f t="shared" si="9"/>
        <v>60</v>
      </c>
      <c r="B121" t="s">
        <v>190</v>
      </c>
      <c r="C121" t="s">
        <v>132</v>
      </c>
      <c r="D121" s="1">
        <v>45714</v>
      </c>
      <c r="E121" t="s">
        <v>195</v>
      </c>
      <c r="F121" s="2" t="b">
        <v>1</v>
      </c>
      <c r="G121" s="2" t="b">
        <v>1</v>
      </c>
      <c r="H121" s="2" t="b">
        <v>0</v>
      </c>
      <c r="I121" s="2" t="b">
        <v>0</v>
      </c>
      <c r="J121">
        <f t="shared" si="5"/>
        <v>0</v>
      </c>
      <c r="K121">
        <f t="shared" si="6"/>
        <v>0</v>
      </c>
      <c r="L121">
        <f t="shared" si="7"/>
        <v>0</v>
      </c>
      <c r="M121">
        <f t="shared" si="8"/>
        <v>1</v>
      </c>
    </row>
    <row r="122" spans="1:13">
      <c r="A122">
        <f t="shared" si="9"/>
        <v>61</v>
      </c>
      <c r="B122" t="s">
        <v>192</v>
      </c>
      <c r="C122" t="s">
        <v>133</v>
      </c>
      <c r="D122" s="1">
        <v>45714</v>
      </c>
      <c r="E122" t="s">
        <v>191</v>
      </c>
      <c r="F122" s="2" t="b">
        <v>1</v>
      </c>
      <c r="G122" s="2" t="b">
        <v>1</v>
      </c>
      <c r="H122" s="2" t="b">
        <v>0</v>
      </c>
      <c r="I122" s="2" t="b">
        <v>0</v>
      </c>
      <c r="J122">
        <f t="shared" si="5"/>
        <v>1</v>
      </c>
      <c r="K122">
        <f t="shared" si="6"/>
        <v>0</v>
      </c>
      <c r="L122">
        <f t="shared" si="7"/>
        <v>0</v>
      </c>
      <c r="M122">
        <f t="shared" si="8"/>
        <v>0</v>
      </c>
    </row>
    <row r="123" spans="1:13">
      <c r="A123">
        <f t="shared" si="9"/>
        <v>61</v>
      </c>
      <c r="B123" t="s">
        <v>190</v>
      </c>
      <c r="C123" t="s">
        <v>134</v>
      </c>
      <c r="D123" s="1">
        <v>45714</v>
      </c>
      <c r="E123" t="s">
        <v>191</v>
      </c>
      <c r="F123" s="2" t="b">
        <v>1</v>
      </c>
      <c r="G123" s="2" t="b">
        <v>1</v>
      </c>
      <c r="H123" s="2" t="b">
        <v>0</v>
      </c>
      <c r="I123" s="2" t="b">
        <v>0</v>
      </c>
      <c r="J123">
        <f t="shared" si="5"/>
        <v>1</v>
      </c>
      <c r="K123">
        <f t="shared" si="6"/>
        <v>0</v>
      </c>
      <c r="L123">
        <f t="shared" si="7"/>
        <v>0</v>
      </c>
      <c r="M123">
        <f t="shared" si="8"/>
        <v>0</v>
      </c>
    </row>
    <row r="124" spans="1:13">
      <c r="A124">
        <f t="shared" si="9"/>
        <v>62</v>
      </c>
      <c r="B124" t="s">
        <v>192</v>
      </c>
      <c r="C124" t="s">
        <v>135</v>
      </c>
      <c r="D124" s="1">
        <v>45714</v>
      </c>
      <c r="E124" t="s">
        <v>193</v>
      </c>
      <c r="F124" s="2" t="b">
        <v>1</v>
      </c>
      <c r="G124" s="2" t="b">
        <v>1</v>
      </c>
      <c r="H124" s="2" t="b">
        <v>0</v>
      </c>
      <c r="I124" s="2" t="b">
        <v>0</v>
      </c>
      <c r="J124">
        <f t="shared" si="5"/>
        <v>0</v>
      </c>
      <c r="K124">
        <f t="shared" si="6"/>
        <v>1</v>
      </c>
      <c r="L124">
        <f t="shared" si="7"/>
        <v>0</v>
      </c>
      <c r="M124">
        <f t="shared" si="8"/>
        <v>0</v>
      </c>
    </row>
    <row r="125" spans="1:13">
      <c r="A125">
        <f t="shared" si="9"/>
        <v>62</v>
      </c>
      <c r="B125" t="s">
        <v>190</v>
      </c>
      <c r="C125" t="s">
        <v>136</v>
      </c>
      <c r="D125" s="1">
        <v>45714</v>
      </c>
      <c r="E125" t="s">
        <v>193</v>
      </c>
      <c r="F125" s="2" t="b">
        <v>0</v>
      </c>
      <c r="G125" s="2" t="b">
        <v>0</v>
      </c>
      <c r="H125" s="2" t="b">
        <v>0</v>
      </c>
      <c r="I125" s="2" t="b">
        <v>0</v>
      </c>
      <c r="J125">
        <f t="shared" si="5"/>
        <v>0</v>
      </c>
      <c r="K125">
        <f t="shared" si="6"/>
        <v>0</v>
      </c>
      <c r="L125">
        <f t="shared" si="7"/>
        <v>0</v>
      </c>
      <c r="M125">
        <f t="shared" si="8"/>
        <v>0</v>
      </c>
    </row>
    <row r="126" spans="1:13">
      <c r="A126">
        <f t="shared" si="9"/>
        <v>63</v>
      </c>
      <c r="B126" t="s">
        <v>192</v>
      </c>
      <c r="C126" t="s">
        <v>137</v>
      </c>
      <c r="D126" s="1">
        <v>45714</v>
      </c>
      <c r="E126" t="s">
        <v>194</v>
      </c>
      <c r="F126" s="2" t="b">
        <v>1</v>
      </c>
      <c r="G126" s="2" t="b">
        <v>1</v>
      </c>
      <c r="H126" s="2" t="b">
        <v>0</v>
      </c>
      <c r="I126" s="2" t="b">
        <v>0</v>
      </c>
      <c r="J126">
        <f t="shared" si="5"/>
        <v>0</v>
      </c>
      <c r="K126">
        <f t="shared" si="6"/>
        <v>0</v>
      </c>
      <c r="L126">
        <f t="shared" si="7"/>
        <v>1</v>
      </c>
      <c r="M126">
        <f t="shared" si="8"/>
        <v>0</v>
      </c>
    </row>
    <row r="127" spans="1:13">
      <c r="A127">
        <f t="shared" si="9"/>
        <v>63</v>
      </c>
      <c r="E127" t="s">
        <v>194</v>
      </c>
      <c r="F127" s="2" t="b">
        <v>0</v>
      </c>
      <c r="G127" s="2" t="b">
        <v>0</v>
      </c>
      <c r="H127" s="2" t="b">
        <v>1</v>
      </c>
      <c r="I127" s="2" t="b">
        <v>0</v>
      </c>
      <c r="J127">
        <f t="shared" si="5"/>
        <v>0</v>
      </c>
      <c r="K127">
        <f t="shared" si="6"/>
        <v>0</v>
      </c>
      <c r="L127">
        <f t="shared" si="7"/>
        <v>0</v>
      </c>
      <c r="M127">
        <f t="shared" si="8"/>
        <v>0</v>
      </c>
    </row>
    <row r="128" spans="1:13">
      <c r="A128">
        <f t="shared" si="9"/>
        <v>64</v>
      </c>
      <c r="B128" t="s">
        <v>190</v>
      </c>
      <c r="C128" t="s">
        <v>138</v>
      </c>
      <c r="D128" s="1">
        <v>45715</v>
      </c>
      <c r="E128" t="s">
        <v>195</v>
      </c>
      <c r="F128" s="2" t="b">
        <v>1</v>
      </c>
      <c r="G128" s="2" t="b">
        <v>0</v>
      </c>
      <c r="H128" s="2" t="b">
        <v>0</v>
      </c>
      <c r="I128" s="2" t="b">
        <v>0</v>
      </c>
      <c r="J128">
        <f t="shared" si="5"/>
        <v>0</v>
      </c>
      <c r="K128">
        <f t="shared" si="6"/>
        <v>0</v>
      </c>
      <c r="L128">
        <f t="shared" si="7"/>
        <v>0</v>
      </c>
      <c r="M128">
        <f t="shared" si="8"/>
        <v>1</v>
      </c>
    </row>
    <row r="129" spans="1:13">
      <c r="A129">
        <f t="shared" si="9"/>
        <v>64</v>
      </c>
      <c r="E129" t="s">
        <v>195</v>
      </c>
      <c r="F129" s="2" t="b">
        <v>0</v>
      </c>
      <c r="G129" s="2" t="b">
        <v>0</v>
      </c>
      <c r="H129" s="2" t="b">
        <v>1</v>
      </c>
      <c r="I129" s="2" t="b">
        <v>0</v>
      </c>
      <c r="J129">
        <f t="shared" si="5"/>
        <v>0</v>
      </c>
      <c r="K129">
        <f t="shared" si="6"/>
        <v>0</v>
      </c>
      <c r="L129">
        <f t="shared" si="7"/>
        <v>0</v>
      </c>
      <c r="M129">
        <f t="shared" si="8"/>
        <v>0</v>
      </c>
    </row>
    <row r="130" spans="1:13">
      <c r="A130">
        <f t="shared" si="9"/>
        <v>65</v>
      </c>
      <c r="B130" t="s">
        <v>192</v>
      </c>
      <c r="C130" t="s">
        <v>139</v>
      </c>
      <c r="D130" s="1">
        <v>45715</v>
      </c>
      <c r="E130" t="s">
        <v>191</v>
      </c>
      <c r="F130" s="2" t="b">
        <v>1</v>
      </c>
      <c r="G130" s="2" t="b">
        <v>1</v>
      </c>
      <c r="H130" s="2" t="b">
        <v>0</v>
      </c>
      <c r="I130" s="2" t="b">
        <v>0</v>
      </c>
      <c r="J130">
        <f t="shared" si="5"/>
        <v>1</v>
      </c>
      <c r="K130">
        <f t="shared" si="6"/>
        <v>0</v>
      </c>
      <c r="L130">
        <f t="shared" si="7"/>
        <v>0</v>
      </c>
      <c r="M130">
        <f t="shared" si="8"/>
        <v>0</v>
      </c>
    </row>
    <row r="131" spans="1:13">
      <c r="A131">
        <f t="shared" si="9"/>
        <v>65</v>
      </c>
      <c r="E131" t="s">
        <v>191</v>
      </c>
      <c r="F131" s="2" t="b">
        <v>0</v>
      </c>
      <c r="G131" s="2" t="b">
        <v>0</v>
      </c>
      <c r="H131" s="2" t="b">
        <v>1</v>
      </c>
      <c r="I131" s="2" t="b">
        <v>0</v>
      </c>
      <c r="J131">
        <f t="shared" ref="J131:J158" si="10" xml:space="preserve"> IF(AND(E131="child",F131=TRUE), 1,0)</f>
        <v>0</v>
      </c>
      <c r="K131">
        <f t="shared" ref="K131:K177" si="11" xml:space="preserve"> IF(AND(E131="peer",F131=TRUE), 1,0)</f>
        <v>0</v>
      </c>
      <c r="L131">
        <f t="shared" ref="L131:L177" si="12" xml:space="preserve"> IF(AND(E131="short",F131=TRUE), 1,0)</f>
        <v>0</v>
      </c>
      <c r="M131">
        <f t="shared" ref="M131:M177" si="13" xml:space="preserve"> IF(AND(E131="creative",F131=TRUE), 1,0)</f>
        <v>0</v>
      </c>
    </row>
    <row r="132" spans="1:13">
      <c r="A132">
        <f t="shared" si="9"/>
        <v>66</v>
      </c>
      <c r="B132" t="s">
        <v>192</v>
      </c>
      <c r="C132" t="s">
        <v>140</v>
      </c>
      <c r="D132" s="1">
        <v>45715</v>
      </c>
      <c r="E132" t="s">
        <v>193</v>
      </c>
      <c r="F132" s="2" t="b">
        <v>1</v>
      </c>
      <c r="G132" s="2" t="b">
        <v>1</v>
      </c>
      <c r="H132" s="2" t="b">
        <v>0</v>
      </c>
      <c r="I132" s="2" t="b">
        <v>0</v>
      </c>
      <c r="J132">
        <f t="shared" si="10"/>
        <v>0</v>
      </c>
      <c r="K132">
        <f t="shared" si="11"/>
        <v>1</v>
      </c>
      <c r="L132">
        <f t="shared" si="12"/>
        <v>0</v>
      </c>
      <c r="M132">
        <f t="shared" si="13"/>
        <v>0</v>
      </c>
    </row>
    <row r="133" spans="1:13">
      <c r="A133">
        <f t="shared" si="9"/>
        <v>66</v>
      </c>
      <c r="B133" t="s">
        <v>192</v>
      </c>
      <c r="C133" t="s">
        <v>141</v>
      </c>
      <c r="D133" s="1">
        <v>45727</v>
      </c>
      <c r="E133" t="s">
        <v>193</v>
      </c>
      <c r="F133" s="2" t="b">
        <v>1</v>
      </c>
      <c r="G133" s="2" t="b">
        <v>1</v>
      </c>
      <c r="H133" s="2" t="b">
        <v>0</v>
      </c>
      <c r="I133" s="2" t="b">
        <v>0</v>
      </c>
      <c r="J133">
        <f t="shared" si="10"/>
        <v>0</v>
      </c>
      <c r="K133">
        <f t="shared" si="11"/>
        <v>1</v>
      </c>
      <c r="L133">
        <f t="shared" si="12"/>
        <v>0</v>
      </c>
      <c r="M133">
        <f t="shared" si="13"/>
        <v>0</v>
      </c>
    </row>
    <row r="134" spans="1:13">
      <c r="A134">
        <f t="shared" ref="A134:A153" si="14">A132+1</f>
        <v>67</v>
      </c>
      <c r="B134" t="s">
        <v>190</v>
      </c>
      <c r="C134" t="s">
        <v>142</v>
      </c>
      <c r="D134" s="1">
        <v>45728</v>
      </c>
      <c r="E134" t="s">
        <v>194</v>
      </c>
      <c r="F134" s="2" t="b">
        <v>1</v>
      </c>
      <c r="G134" s="2" t="b">
        <v>1</v>
      </c>
      <c r="H134" s="2" t="b">
        <v>0</v>
      </c>
      <c r="I134" s="2" t="b">
        <v>0</v>
      </c>
      <c r="J134">
        <f t="shared" si="10"/>
        <v>0</v>
      </c>
      <c r="K134">
        <f t="shared" si="11"/>
        <v>0</v>
      </c>
      <c r="L134">
        <f t="shared" si="12"/>
        <v>1</v>
      </c>
      <c r="M134">
        <f t="shared" si="13"/>
        <v>0</v>
      </c>
    </row>
    <row r="135" spans="1:13">
      <c r="A135">
        <f t="shared" si="14"/>
        <v>67</v>
      </c>
      <c r="E135" t="s">
        <v>194</v>
      </c>
      <c r="F135" s="2" t="b">
        <v>0</v>
      </c>
      <c r="G135" s="2" t="b">
        <v>0</v>
      </c>
      <c r="H135" s="2" t="b">
        <v>0</v>
      </c>
      <c r="I135" s="2" t="b">
        <v>1</v>
      </c>
      <c r="J135">
        <f t="shared" si="10"/>
        <v>0</v>
      </c>
      <c r="K135">
        <f t="shared" si="11"/>
        <v>0</v>
      </c>
      <c r="L135">
        <f t="shared" si="12"/>
        <v>0</v>
      </c>
      <c r="M135">
        <f t="shared" si="13"/>
        <v>0</v>
      </c>
    </row>
    <row r="136" spans="1:13">
      <c r="A136">
        <f t="shared" si="14"/>
        <v>68</v>
      </c>
      <c r="B136" t="s">
        <v>192</v>
      </c>
      <c r="C136" t="s">
        <v>201</v>
      </c>
      <c r="D136" s="1">
        <v>45728</v>
      </c>
      <c r="E136" t="s">
        <v>195</v>
      </c>
      <c r="F136" s="2" t="b">
        <v>1</v>
      </c>
      <c r="G136" s="2" t="b">
        <v>1</v>
      </c>
      <c r="H136" s="2" t="b">
        <v>0</v>
      </c>
      <c r="I136" s="2" t="b">
        <v>0</v>
      </c>
      <c r="J136">
        <f t="shared" si="10"/>
        <v>0</v>
      </c>
      <c r="K136">
        <f t="shared" si="11"/>
        <v>0</v>
      </c>
      <c r="L136">
        <f t="shared" si="12"/>
        <v>0</v>
      </c>
      <c r="M136">
        <f t="shared" si="13"/>
        <v>1</v>
      </c>
    </row>
    <row r="137" spans="1:13">
      <c r="A137">
        <f t="shared" si="14"/>
        <v>68</v>
      </c>
      <c r="E137" t="s">
        <v>195</v>
      </c>
      <c r="F137" s="2" t="b">
        <v>0</v>
      </c>
      <c r="G137" s="2" t="b">
        <v>0</v>
      </c>
      <c r="H137" s="2" t="b">
        <v>0</v>
      </c>
      <c r="I137" s="2" t="b">
        <v>0</v>
      </c>
      <c r="J137">
        <f t="shared" si="10"/>
        <v>0</v>
      </c>
      <c r="K137">
        <f t="shared" si="11"/>
        <v>0</v>
      </c>
      <c r="L137">
        <f t="shared" si="12"/>
        <v>0</v>
      </c>
      <c r="M137">
        <f t="shared" si="13"/>
        <v>0</v>
      </c>
    </row>
    <row r="138" spans="1:13">
      <c r="A138">
        <f t="shared" si="14"/>
        <v>69</v>
      </c>
      <c r="B138" t="s">
        <v>192</v>
      </c>
      <c r="C138" t="s">
        <v>143</v>
      </c>
      <c r="D138" s="1">
        <v>45729</v>
      </c>
      <c r="E138" t="s">
        <v>191</v>
      </c>
      <c r="F138" s="2" t="b">
        <v>1</v>
      </c>
      <c r="G138" s="2" t="b">
        <v>1</v>
      </c>
      <c r="H138" s="2" t="b">
        <v>0</v>
      </c>
      <c r="I138" s="2" t="b">
        <v>0</v>
      </c>
      <c r="J138">
        <f t="shared" si="10"/>
        <v>1</v>
      </c>
      <c r="K138">
        <f t="shared" si="11"/>
        <v>0</v>
      </c>
      <c r="L138">
        <f t="shared" si="12"/>
        <v>0</v>
      </c>
      <c r="M138">
        <f t="shared" si="13"/>
        <v>0</v>
      </c>
    </row>
    <row r="139" spans="1:13">
      <c r="A139">
        <f t="shared" si="14"/>
        <v>69</v>
      </c>
      <c r="B139" t="s">
        <v>190</v>
      </c>
      <c r="C139" t="s">
        <v>144</v>
      </c>
      <c r="D139" s="1">
        <v>45729</v>
      </c>
      <c r="E139" t="s">
        <v>191</v>
      </c>
      <c r="F139" s="2" t="b">
        <v>1</v>
      </c>
      <c r="G139" s="2" t="b">
        <v>1</v>
      </c>
      <c r="H139" s="2" t="b">
        <v>0</v>
      </c>
      <c r="I139" s="2" t="b">
        <v>0</v>
      </c>
      <c r="J139">
        <f t="shared" si="10"/>
        <v>1</v>
      </c>
      <c r="K139">
        <f t="shared" si="11"/>
        <v>0</v>
      </c>
      <c r="L139">
        <f t="shared" si="12"/>
        <v>0</v>
      </c>
      <c r="M139">
        <f t="shared" si="13"/>
        <v>0</v>
      </c>
    </row>
    <row r="140" spans="1:13">
      <c r="A140">
        <f t="shared" si="14"/>
        <v>70</v>
      </c>
      <c r="B140" t="s">
        <v>192</v>
      </c>
      <c r="C140" t="s">
        <v>145</v>
      </c>
      <c r="D140" s="1">
        <v>45729</v>
      </c>
      <c r="E140" t="s">
        <v>193</v>
      </c>
      <c r="F140" s="2" t="b">
        <v>1</v>
      </c>
      <c r="G140" s="2" t="b">
        <v>1</v>
      </c>
      <c r="H140" s="2" t="b">
        <v>0</v>
      </c>
      <c r="I140" s="2" t="b">
        <v>0</v>
      </c>
      <c r="J140">
        <f t="shared" si="10"/>
        <v>0</v>
      </c>
      <c r="K140">
        <f t="shared" si="11"/>
        <v>1</v>
      </c>
      <c r="L140">
        <f t="shared" si="12"/>
        <v>0</v>
      </c>
      <c r="M140">
        <f t="shared" si="13"/>
        <v>0</v>
      </c>
    </row>
    <row r="141" spans="1:13">
      <c r="A141">
        <f t="shared" si="14"/>
        <v>70</v>
      </c>
      <c r="B141" t="s">
        <v>190</v>
      </c>
      <c r="C141" t="s">
        <v>146</v>
      </c>
      <c r="D141" s="1">
        <v>45729</v>
      </c>
      <c r="E141" t="s">
        <v>193</v>
      </c>
      <c r="F141" s="2" t="b">
        <v>1</v>
      </c>
      <c r="G141" s="2" t="b">
        <v>1</v>
      </c>
      <c r="H141" s="2" t="b">
        <v>0</v>
      </c>
      <c r="I141" s="2" t="b">
        <v>0</v>
      </c>
      <c r="J141">
        <f t="shared" si="10"/>
        <v>0</v>
      </c>
      <c r="K141">
        <f t="shared" si="11"/>
        <v>1</v>
      </c>
      <c r="L141">
        <f t="shared" si="12"/>
        <v>0</v>
      </c>
      <c r="M141">
        <f t="shared" si="13"/>
        <v>0</v>
      </c>
    </row>
    <row r="142" spans="1:13">
      <c r="A142">
        <f t="shared" si="14"/>
        <v>71</v>
      </c>
      <c r="B142" t="s">
        <v>190</v>
      </c>
      <c r="C142" t="s">
        <v>147</v>
      </c>
      <c r="D142" s="1">
        <v>45730</v>
      </c>
      <c r="E142" t="s">
        <v>193</v>
      </c>
      <c r="F142" s="2" t="b">
        <v>1</v>
      </c>
      <c r="G142" s="2" t="b">
        <v>1</v>
      </c>
      <c r="H142" s="2" t="b">
        <v>0</v>
      </c>
      <c r="I142" s="2" t="b">
        <v>0</v>
      </c>
      <c r="J142">
        <f t="shared" si="10"/>
        <v>0</v>
      </c>
      <c r="K142">
        <f t="shared" si="11"/>
        <v>1</v>
      </c>
      <c r="L142">
        <f t="shared" si="12"/>
        <v>0</v>
      </c>
      <c r="M142">
        <f t="shared" si="13"/>
        <v>0</v>
      </c>
    </row>
    <row r="143" spans="1:13">
      <c r="A143">
        <f t="shared" si="14"/>
        <v>71</v>
      </c>
      <c r="B143" t="s">
        <v>192</v>
      </c>
      <c r="C143" t="s">
        <v>148</v>
      </c>
      <c r="D143" s="1">
        <v>45730</v>
      </c>
      <c r="E143" t="s">
        <v>193</v>
      </c>
      <c r="F143" s="2" t="b">
        <v>1</v>
      </c>
      <c r="G143" s="2" t="b">
        <v>1</v>
      </c>
      <c r="H143" s="2" t="b">
        <v>0</v>
      </c>
      <c r="I143" s="2" t="b">
        <v>0</v>
      </c>
      <c r="J143">
        <f t="shared" si="10"/>
        <v>0</v>
      </c>
      <c r="K143">
        <f t="shared" si="11"/>
        <v>1</v>
      </c>
      <c r="L143">
        <f t="shared" si="12"/>
        <v>0</v>
      </c>
      <c r="M143">
        <f t="shared" si="13"/>
        <v>0</v>
      </c>
    </row>
    <row r="144" spans="1:13">
      <c r="A144">
        <f t="shared" si="14"/>
        <v>72</v>
      </c>
      <c r="B144" t="s">
        <v>190</v>
      </c>
      <c r="C144" t="s">
        <v>149</v>
      </c>
      <c r="D144" s="1">
        <v>45730</v>
      </c>
      <c r="E144" t="s">
        <v>195</v>
      </c>
      <c r="F144" s="2" t="b">
        <v>1</v>
      </c>
      <c r="G144" s="2" t="b">
        <v>1</v>
      </c>
      <c r="H144" s="2" t="b">
        <v>0</v>
      </c>
      <c r="I144" s="2" t="b">
        <v>0</v>
      </c>
      <c r="J144">
        <f t="shared" si="10"/>
        <v>0</v>
      </c>
      <c r="K144">
        <f t="shared" si="11"/>
        <v>0</v>
      </c>
      <c r="L144">
        <f t="shared" si="12"/>
        <v>0</v>
      </c>
      <c r="M144">
        <f t="shared" si="13"/>
        <v>1</v>
      </c>
    </row>
    <row r="145" spans="1:13">
      <c r="A145">
        <f t="shared" si="14"/>
        <v>72</v>
      </c>
      <c r="B145" t="s">
        <v>192</v>
      </c>
      <c r="C145" t="s">
        <v>150</v>
      </c>
      <c r="D145" s="1">
        <v>45730</v>
      </c>
      <c r="E145" t="s">
        <v>195</v>
      </c>
      <c r="F145" s="2" t="b">
        <v>1</v>
      </c>
      <c r="G145" s="2" t="b">
        <v>1</v>
      </c>
      <c r="H145" s="2" t="b">
        <v>0</v>
      </c>
      <c r="I145" s="2" t="b">
        <v>0</v>
      </c>
      <c r="J145">
        <f t="shared" si="10"/>
        <v>0</v>
      </c>
      <c r="K145">
        <f t="shared" si="11"/>
        <v>0</v>
      </c>
      <c r="L145">
        <f t="shared" si="12"/>
        <v>0</v>
      </c>
      <c r="M145">
        <f t="shared" si="13"/>
        <v>1</v>
      </c>
    </row>
    <row r="146" spans="1:13">
      <c r="A146">
        <f t="shared" si="14"/>
        <v>73</v>
      </c>
      <c r="B146" t="s">
        <v>190</v>
      </c>
      <c r="C146" t="s">
        <v>151</v>
      </c>
      <c r="D146" s="1">
        <v>45730</v>
      </c>
      <c r="E146" t="s">
        <v>195</v>
      </c>
      <c r="F146" s="2" t="b">
        <v>1</v>
      </c>
      <c r="G146" s="2" t="b">
        <v>1</v>
      </c>
      <c r="H146" s="2" t="b">
        <v>0</v>
      </c>
      <c r="I146" s="2" t="b">
        <v>0</v>
      </c>
      <c r="J146">
        <f t="shared" si="10"/>
        <v>0</v>
      </c>
      <c r="K146">
        <f t="shared" si="11"/>
        <v>0</v>
      </c>
      <c r="L146">
        <f t="shared" si="12"/>
        <v>0</v>
      </c>
      <c r="M146">
        <f t="shared" si="13"/>
        <v>1</v>
      </c>
    </row>
    <row r="147" spans="1:13">
      <c r="A147">
        <f t="shared" si="14"/>
        <v>73</v>
      </c>
      <c r="B147" t="s">
        <v>192</v>
      </c>
      <c r="C147" t="s">
        <v>152</v>
      </c>
      <c r="D147" s="1">
        <v>45730</v>
      </c>
      <c r="E147" t="s">
        <v>195</v>
      </c>
      <c r="F147" s="2" t="b">
        <v>1</v>
      </c>
      <c r="G147" s="2" t="b">
        <v>1</v>
      </c>
      <c r="H147" s="2" t="b">
        <v>0</v>
      </c>
      <c r="I147" s="2" t="b">
        <v>0</v>
      </c>
      <c r="J147">
        <f t="shared" si="10"/>
        <v>0</v>
      </c>
      <c r="K147">
        <f t="shared" si="11"/>
        <v>0</v>
      </c>
      <c r="L147">
        <f t="shared" si="12"/>
        <v>0</v>
      </c>
      <c r="M147">
        <f t="shared" si="13"/>
        <v>1</v>
      </c>
    </row>
    <row r="148" spans="1:13">
      <c r="A148">
        <f t="shared" si="14"/>
        <v>74</v>
      </c>
      <c r="B148" t="s">
        <v>190</v>
      </c>
      <c r="C148" t="s">
        <v>153</v>
      </c>
      <c r="D148" s="1">
        <v>45730</v>
      </c>
      <c r="E148" t="s">
        <v>193</v>
      </c>
      <c r="F148" s="2" t="b">
        <v>1</v>
      </c>
      <c r="G148" s="2" t="b">
        <v>1</v>
      </c>
      <c r="H148" s="2" t="b">
        <v>0</v>
      </c>
      <c r="I148" s="2" t="b">
        <v>0</v>
      </c>
      <c r="J148">
        <f t="shared" si="10"/>
        <v>0</v>
      </c>
      <c r="K148">
        <f t="shared" si="11"/>
        <v>1</v>
      </c>
      <c r="L148">
        <f t="shared" si="12"/>
        <v>0</v>
      </c>
      <c r="M148">
        <f t="shared" si="13"/>
        <v>0</v>
      </c>
    </row>
    <row r="149" spans="1:13">
      <c r="A149">
        <f t="shared" si="14"/>
        <v>74</v>
      </c>
      <c r="B149" t="s">
        <v>192</v>
      </c>
      <c r="C149" t="s">
        <v>154</v>
      </c>
      <c r="D149" s="1">
        <v>45730</v>
      </c>
      <c r="E149" t="s">
        <v>193</v>
      </c>
      <c r="F149" s="2" t="b">
        <v>1</v>
      </c>
      <c r="G149" s="2" t="b">
        <v>1</v>
      </c>
      <c r="H149" s="2" t="b">
        <v>0</v>
      </c>
      <c r="I149" s="2" t="b">
        <v>0</v>
      </c>
      <c r="J149">
        <f t="shared" si="10"/>
        <v>0</v>
      </c>
      <c r="K149">
        <f t="shared" si="11"/>
        <v>1</v>
      </c>
      <c r="L149">
        <f t="shared" si="12"/>
        <v>0</v>
      </c>
      <c r="M149">
        <f t="shared" si="13"/>
        <v>0</v>
      </c>
    </row>
    <row r="150" spans="1:13">
      <c r="A150">
        <f t="shared" si="14"/>
        <v>75</v>
      </c>
      <c r="B150" t="s">
        <v>190</v>
      </c>
      <c r="C150" t="s">
        <v>155</v>
      </c>
      <c r="D150" s="1">
        <v>45730</v>
      </c>
      <c r="E150" t="s">
        <v>195</v>
      </c>
      <c r="F150" s="2" t="b">
        <v>1</v>
      </c>
      <c r="G150" s="2" t="b">
        <v>1</v>
      </c>
      <c r="H150" s="2" t="b">
        <v>0</v>
      </c>
      <c r="I150" s="2" t="b">
        <v>0</v>
      </c>
      <c r="J150">
        <f t="shared" si="10"/>
        <v>0</v>
      </c>
      <c r="K150">
        <f t="shared" si="11"/>
        <v>0</v>
      </c>
      <c r="L150">
        <f t="shared" si="12"/>
        <v>0</v>
      </c>
      <c r="M150">
        <f t="shared" si="13"/>
        <v>1</v>
      </c>
    </row>
    <row r="151" spans="1:13">
      <c r="A151">
        <f t="shared" si="14"/>
        <v>75</v>
      </c>
      <c r="E151" t="s">
        <v>195</v>
      </c>
      <c r="F151" s="2" t="b">
        <v>0</v>
      </c>
      <c r="G151" s="2" t="b">
        <v>0</v>
      </c>
      <c r="H151" s="2" t="b">
        <v>1</v>
      </c>
      <c r="I151" s="2" t="b">
        <v>0</v>
      </c>
      <c r="J151">
        <f t="shared" si="10"/>
        <v>0</v>
      </c>
      <c r="K151">
        <f t="shared" si="11"/>
        <v>0</v>
      </c>
      <c r="L151">
        <f t="shared" si="12"/>
        <v>0</v>
      </c>
      <c r="M151">
        <f t="shared" si="13"/>
        <v>0</v>
      </c>
    </row>
    <row r="152" spans="1:13">
      <c r="A152">
        <f t="shared" si="14"/>
        <v>76</v>
      </c>
      <c r="B152" t="s">
        <v>192</v>
      </c>
      <c r="C152" t="s">
        <v>156</v>
      </c>
      <c r="D152" s="1">
        <v>45730</v>
      </c>
      <c r="E152" t="s">
        <v>193</v>
      </c>
      <c r="F152" s="2" t="b">
        <v>1</v>
      </c>
      <c r="G152" s="2" t="b">
        <v>1</v>
      </c>
      <c r="H152" s="2" t="b">
        <v>0</v>
      </c>
      <c r="I152" s="2" t="b">
        <v>0</v>
      </c>
      <c r="J152">
        <f t="shared" si="10"/>
        <v>0</v>
      </c>
      <c r="K152">
        <f t="shared" si="11"/>
        <v>1</v>
      </c>
      <c r="L152">
        <f t="shared" si="12"/>
        <v>0</v>
      </c>
      <c r="M152">
        <f t="shared" si="13"/>
        <v>0</v>
      </c>
    </row>
    <row r="153" spans="1:13">
      <c r="A153">
        <f t="shared" si="14"/>
        <v>76</v>
      </c>
      <c r="B153" t="s">
        <v>190</v>
      </c>
      <c r="C153" t="s">
        <v>157</v>
      </c>
      <c r="D153" s="1">
        <v>45730</v>
      </c>
      <c r="E153" t="s">
        <v>193</v>
      </c>
      <c r="F153" s="2" t="b">
        <v>1</v>
      </c>
      <c r="G153" s="2" t="b">
        <v>1</v>
      </c>
      <c r="H153" s="2" t="b">
        <v>0</v>
      </c>
      <c r="I153" s="2" t="b">
        <v>0</v>
      </c>
      <c r="J153">
        <f t="shared" si="10"/>
        <v>0</v>
      </c>
      <c r="K153">
        <f t="shared" si="11"/>
        <v>1</v>
      </c>
      <c r="L153">
        <f t="shared" si="12"/>
        <v>0</v>
      </c>
      <c r="M153">
        <f t="shared" si="13"/>
        <v>0</v>
      </c>
    </row>
    <row r="154" spans="1:13">
      <c r="A154">
        <v>77</v>
      </c>
      <c r="B154" t="s">
        <v>192</v>
      </c>
      <c r="C154" t="s">
        <v>158</v>
      </c>
      <c r="D154" s="1">
        <v>45730</v>
      </c>
      <c r="E154" t="s">
        <v>194</v>
      </c>
      <c r="F154" s="2" t="b">
        <v>1</v>
      </c>
      <c r="G154" s="2" t="b">
        <v>1</v>
      </c>
      <c r="H154" s="2" t="b">
        <v>0</v>
      </c>
      <c r="I154" s="2" t="b">
        <v>0</v>
      </c>
      <c r="J154">
        <f t="shared" si="10"/>
        <v>0</v>
      </c>
      <c r="K154">
        <f t="shared" si="11"/>
        <v>0</v>
      </c>
      <c r="L154">
        <f t="shared" si="12"/>
        <v>1</v>
      </c>
      <c r="M154">
        <f t="shared" si="13"/>
        <v>0</v>
      </c>
    </row>
    <row r="155" spans="1:13">
      <c r="A155">
        <v>77</v>
      </c>
      <c r="E155" t="s">
        <v>194</v>
      </c>
      <c r="F155" s="2" t="b">
        <v>0</v>
      </c>
      <c r="G155" s="2" t="b">
        <v>0</v>
      </c>
      <c r="H155" s="2" t="b">
        <v>1</v>
      </c>
      <c r="I155" s="2" t="b">
        <v>0</v>
      </c>
      <c r="J155">
        <f xml:space="preserve"> IF(AND(E155="child",F155=TRUE), 1,0)</f>
        <v>0</v>
      </c>
      <c r="K155">
        <f t="shared" si="11"/>
        <v>0</v>
      </c>
      <c r="L155">
        <f t="shared" si="12"/>
        <v>0</v>
      </c>
      <c r="M155">
        <f t="shared" si="13"/>
        <v>0</v>
      </c>
    </row>
    <row r="156" spans="1:13">
      <c r="A156">
        <f>A154+1</f>
        <v>78</v>
      </c>
      <c r="B156" t="s">
        <v>190</v>
      </c>
      <c r="C156" t="s">
        <v>159</v>
      </c>
      <c r="D156" s="1">
        <v>45730</v>
      </c>
      <c r="E156" t="s">
        <v>195</v>
      </c>
      <c r="F156" s="2" t="b">
        <v>1</v>
      </c>
      <c r="G156" s="2" t="b">
        <v>1</v>
      </c>
      <c r="H156" s="2" t="b">
        <v>0</v>
      </c>
      <c r="I156" s="2" t="b">
        <v>0</v>
      </c>
      <c r="J156">
        <f t="shared" ref="J156:J177" si="15" xml:space="preserve"> IF(AND(E156="child",F156=TRUE), 1,0)</f>
        <v>0</v>
      </c>
      <c r="K156">
        <f t="shared" si="11"/>
        <v>0</v>
      </c>
      <c r="L156">
        <f t="shared" si="12"/>
        <v>0</v>
      </c>
      <c r="M156">
        <f t="shared" si="13"/>
        <v>1</v>
      </c>
    </row>
    <row r="157" spans="1:13">
      <c r="A157">
        <f>A155+1</f>
        <v>78</v>
      </c>
      <c r="B157" t="s">
        <v>192</v>
      </c>
      <c r="C157" t="s">
        <v>160</v>
      </c>
      <c r="D157" s="1">
        <v>45730</v>
      </c>
      <c r="E157" t="s">
        <v>195</v>
      </c>
      <c r="F157" s="2" t="b">
        <v>1</v>
      </c>
      <c r="G157" s="2" t="b">
        <v>1</v>
      </c>
      <c r="H157" s="2" t="b">
        <v>0</v>
      </c>
      <c r="I157" s="2" t="b">
        <v>0</v>
      </c>
      <c r="J157">
        <f t="shared" si="15"/>
        <v>0</v>
      </c>
      <c r="K157">
        <f t="shared" si="11"/>
        <v>0</v>
      </c>
      <c r="L157">
        <f t="shared" si="12"/>
        <v>0</v>
      </c>
      <c r="M157">
        <f t="shared" si="13"/>
        <v>1</v>
      </c>
    </row>
    <row r="158" spans="1:13">
      <c r="A158">
        <v>79</v>
      </c>
      <c r="B158" t="s">
        <v>190</v>
      </c>
      <c r="C158" t="s">
        <v>161</v>
      </c>
      <c r="D158" s="1">
        <v>45730</v>
      </c>
      <c r="E158" t="s">
        <v>193</v>
      </c>
      <c r="F158" s="2" t="b">
        <v>1</v>
      </c>
      <c r="G158" s="2" t="b">
        <v>1</v>
      </c>
      <c r="H158" s="2" t="b">
        <v>0</v>
      </c>
      <c r="I158" s="2" t="b">
        <v>0</v>
      </c>
      <c r="J158">
        <f t="shared" si="15"/>
        <v>0</v>
      </c>
      <c r="K158">
        <f t="shared" si="11"/>
        <v>1</v>
      </c>
      <c r="L158">
        <f t="shared" si="12"/>
        <v>0</v>
      </c>
      <c r="M158">
        <f t="shared" si="13"/>
        <v>0</v>
      </c>
    </row>
    <row r="159" spans="1:13">
      <c r="A159">
        <v>79</v>
      </c>
      <c r="B159" t="s">
        <v>192</v>
      </c>
      <c r="C159" t="s">
        <v>162</v>
      </c>
      <c r="D159" s="1">
        <v>45730</v>
      </c>
      <c r="E159" t="s">
        <v>193</v>
      </c>
      <c r="F159" s="2" t="b">
        <v>1</v>
      </c>
      <c r="G159" s="2" t="b">
        <v>1</v>
      </c>
      <c r="H159" s="2" t="b">
        <v>0</v>
      </c>
      <c r="I159" s="2" t="b">
        <v>0</v>
      </c>
      <c r="J159">
        <f t="shared" si="15"/>
        <v>0</v>
      </c>
      <c r="K159">
        <f t="shared" si="11"/>
        <v>1</v>
      </c>
      <c r="L159">
        <f t="shared" si="12"/>
        <v>0</v>
      </c>
      <c r="M159">
        <f t="shared" si="13"/>
        <v>0</v>
      </c>
    </row>
    <row r="160" spans="1:13">
      <c r="A160">
        <v>80</v>
      </c>
      <c r="B160" t="s">
        <v>192</v>
      </c>
      <c r="C160" t="s">
        <v>163</v>
      </c>
      <c r="D160" s="1">
        <v>45735</v>
      </c>
      <c r="E160" t="s">
        <v>194</v>
      </c>
      <c r="F160" s="2" t="b">
        <v>1</v>
      </c>
      <c r="G160" s="2" t="b">
        <v>1</v>
      </c>
      <c r="H160" s="2" t="b">
        <v>0</v>
      </c>
      <c r="I160" s="2" t="b">
        <v>0</v>
      </c>
      <c r="J160">
        <f t="shared" si="15"/>
        <v>0</v>
      </c>
      <c r="K160">
        <f t="shared" si="11"/>
        <v>0</v>
      </c>
      <c r="L160">
        <f t="shared" si="12"/>
        <v>1</v>
      </c>
      <c r="M160">
        <f t="shared" si="13"/>
        <v>0</v>
      </c>
    </row>
    <row r="161" spans="1:13">
      <c r="A161">
        <v>80</v>
      </c>
      <c r="E161" t="s">
        <v>194</v>
      </c>
      <c r="F161" s="2" t="b">
        <v>0</v>
      </c>
      <c r="G161" s="2" t="b">
        <v>0</v>
      </c>
      <c r="H161" s="2" t="b">
        <v>1</v>
      </c>
      <c r="I161" s="2" t="b">
        <v>0</v>
      </c>
      <c r="J161">
        <f t="shared" si="15"/>
        <v>0</v>
      </c>
      <c r="K161">
        <f t="shared" si="11"/>
        <v>0</v>
      </c>
      <c r="L161">
        <f t="shared" si="12"/>
        <v>0</v>
      </c>
      <c r="M161">
        <f t="shared" si="13"/>
        <v>0</v>
      </c>
    </row>
    <row r="162" spans="1:13">
      <c r="A162">
        <f>A160+1</f>
        <v>81</v>
      </c>
      <c r="B162" t="s">
        <v>192</v>
      </c>
      <c r="C162" t="s">
        <v>164</v>
      </c>
      <c r="D162" s="1">
        <v>45735</v>
      </c>
      <c r="E162" t="s">
        <v>193</v>
      </c>
      <c r="F162" s="2" t="b">
        <v>1</v>
      </c>
      <c r="G162" s="2" t="b">
        <v>1</v>
      </c>
      <c r="H162" s="2" t="b">
        <v>0</v>
      </c>
      <c r="I162" s="2" t="b">
        <v>0</v>
      </c>
      <c r="J162">
        <f t="shared" si="15"/>
        <v>0</v>
      </c>
      <c r="K162">
        <f t="shared" si="11"/>
        <v>1</v>
      </c>
      <c r="L162">
        <f t="shared" si="12"/>
        <v>0</v>
      </c>
      <c r="M162">
        <f t="shared" si="13"/>
        <v>0</v>
      </c>
    </row>
    <row r="163" spans="1:13">
      <c r="A163">
        <f>A161+1</f>
        <v>81</v>
      </c>
      <c r="B163" t="s">
        <v>190</v>
      </c>
      <c r="C163" t="s">
        <v>165</v>
      </c>
      <c r="D163" s="1">
        <v>45735</v>
      </c>
      <c r="E163" t="s">
        <v>193</v>
      </c>
      <c r="F163" s="2" t="b">
        <v>1</v>
      </c>
      <c r="G163" s="2" t="b">
        <v>1</v>
      </c>
      <c r="H163" s="2" t="b">
        <v>0</v>
      </c>
      <c r="I163" s="2" t="b">
        <v>0</v>
      </c>
      <c r="J163">
        <f t="shared" si="15"/>
        <v>0</v>
      </c>
      <c r="K163">
        <f t="shared" si="11"/>
        <v>1</v>
      </c>
      <c r="L163">
        <f t="shared" si="12"/>
        <v>0</v>
      </c>
      <c r="M163">
        <f t="shared" si="13"/>
        <v>0</v>
      </c>
    </row>
    <row r="164" spans="1:13">
      <c r="A164">
        <v>82</v>
      </c>
      <c r="B164" t="s">
        <v>192</v>
      </c>
      <c r="C164" t="s">
        <v>166</v>
      </c>
      <c r="D164" s="1">
        <v>45735</v>
      </c>
      <c r="E164" t="s">
        <v>191</v>
      </c>
      <c r="F164" s="2" t="b">
        <v>1</v>
      </c>
      <c r="G164" s="2" t="b">
        <v>1</v>
      </c>
      <c r="H164" s="2" t="b">
        <v>0</v>
      </c>
      <c r="I164" s="2" t="b">
        <v>0</v>
      </c>
      <c r="J164">
        <f t="shared" si="15"/>
        <v>1</v>
      </c>
      <c r="K164">
        <f t="shared" si="11"/>
        <v>0</v>
      </c>
      <c r="L164">
        <f t="shared" si="12"/>
        <v>0</v>
      </c>
      <c r="M164">
        <f t="shared" si="13"/>
        <v>0</v>
      </c>
    </row>
    <row r="165" spans="1:13">
      <c r="A165">
        <v>82</v>
      </c>
      <c r="E165" t="s">
        <v>191</v>
      </c>
      <c r="F165" s="2" t="b">
        <v>0</v>
      </c>
      <c r="G165" s="2" t="b">
        <v>0</v>
      </c>
      <c r="H165" s="2" t="b">
        <v>1</v>
      </c>
      <c r="I165" s="2" t="b">
        <v>0</v>
      </c>
      <c r="J165">
        <f t="shared" si="15"/>
        <v>0</v>
      </c>
      <c r="K165">
        <f t="shared" si="11"/>
        <v>0</v>
      </c>
      <c r="L165">
        <f t="shared" si="12"/>
        <v>0</v>
      </c>
      <c r="M165">
        <f t="shared" si="13"/>
        <v>0</v>
      </c>
    </row>
    <row r="166" spans="1:13">
      <c r="A166">
        <f t="shared" ref="A166:A167" si="16">A164+1</f>
        <v>83</v>
      </c>
      <c r="B166" t="s">
        <v>190</v>
      </c>
      <c r="C166" t="s">
        <v>167</v>
      </c>
      <c r="D166" s="1">
        <v>45735</v>
      </c>
      <c r="E166" t="s">
        <v>194</v>
      </c>
      <c r="F166" s="2" t="b">
        <v>1</v>
      </c>
      <c r="G166" s="2" t="b">
        <v>1</v>
      </c>
      <c r="H166" s="2" t="b">
        <v>0</v>
      </c>
      <c r="I166" s="2" t="b">
        <v>0</v>
      </c>
      <c r="J166">
        <f t="shared" si="15"/>
        <v>0</v>
      </c>
      <c r="K166">
        <f t="shared" si="11"/>
        <v>0</v>
      </c>
      <c r="L166">
        <f t="shared" si="12"/>
        <v>1</v>
      </c>
      <c r="M166">
        <f t="shared" si="13"/>
        <v>0</v>
      </c>
    </row>
    <row r="167" spans="1:13">
      <c r="A167">
        <f t="shared" si="16"/>
        <v>83</v>
      </c>
      <c r="B167" t="s">
        <v>192</v>
      </c>
      <c r="C167" t="s">
        <v>168</v>
      </c>
      <c r="D167" s="1">
        <v>45735</v>
      </c>
      <c r="E167" t="s">
        <v>194</v>
      </c>
      <c r="F167" s="2" t="b">
        <v>1</v>
      </c>
      <c r="G167" s="2" t="b">
        <v>1</v>
      </c>
      <c r="H167" s="2" t="b">
        <v>0</v>
      </c>
      <c r="I167" s="2" t="b">
        <v>0</v>
      </c>
      <c r="J167">
        <f t="shared" si="15"/>
        <v>0</v>
      </c>
      <c r="K167">
        <f t="shared" si="11"/>
        <v>0</v>
      </c>
      <c r="L167">
        <f t="shared" si="12"/>
        <v>1</v>
      </c>
      <c r="M167">
        <f t="shared" si="13"/>
        <v>0</v>
      </c>
    </row>
    <row r="168" spans="1:13">
      <c r="A168">
        <v>84</v>
      </c>
      <c r="B168" t="s">
        <v>190</v>
      </c>
      <c r="C168" t="s">
        <v>169</v>
      </c>
      <c r="D168" s="1">
        <v>45735</v>
      </c>
      <c r="E168" t="s">
        <v>195</v>
      </c>
      <c r="F168" s="2" t="b">
        <v>1</v>
      </c>
      <c r="G168" s="2" t="b">
        <v>1</v>
      </c>
      <c r="H168" s="2" t="b">
        <v>0</v>
      </c>
      <c r="I168" s="2" t="b">
        <v>0</v>
      </c>
      <c r="J168">
        <f t="shared" si="15"/>
        <v>0</v>
      </c>
      <c r="K168">
        <f t="shared" si="11"/>
        <v>0</v>
      </c>
      <c r="L168">
        <f t="shared" si="12"/>
        <v>0</v>
      </c>
      <c r="M168">
        <f t="shared" si="13"/>
        <v>1</v>
      </c>
    </row>
    <row r="169" spans="1:13">
      <c r="A169">
        <v>84</v>
      </c>
      <c r="B169" t="s">
        <v>192</v>
      </c>
      <c r="C169" t="s">
        <v>170</v>
      </c>
      <c r="D169" s="1">
        <v>45735</v>
      </c>
      <c r="E169" t="s">
        <v>195</v>
      </c>
      <c r="F169" s="2" t="b">
        <v>1</v>
      </c>
      <c r="G169" s="2" t="b">
        <v>1</v>
      </c>
      <c r="H169" s="2" t="b">
        <v>0</v>
      </c>
      <c r="I169" s="2" t="b">
        <v>0</v>
      </c>
      <c r="J169">
        <f t="shared" si="15"/>
        <v>0</v>
      </c>
      <c r="K169">
        <f t="shared" si="11"/>
        <v>0</v>
      </c>
      <c r="L169">
        <f t="shared" si="12"/>
        <v>0</v>
      </c>
      <c r="M169">
        <f t="shared" si="13"/>
        <v>1</v>
      </c>
    </row>
    <row r="170" spans="1:13">
      <c r="A170">
        <f t="shared" ref="A170:A177" si="17">A168+1</f>
        <v>85</v>
      </c>
      <c r="B170" t="s">
        <v>190</v>
      </c>
      <c r="C170" t="s">
        <v>171</v>
      </c>
      <c r="D170" s="1">
        <v>45735</v>
      </c>
      <c r="E170" t="s">
        <v>191</v>
      </c>
      <c r="F170" s="2" t="b">
        <v>1</v>
      </c>
      <c r="G170" s="2" t="b">
        <v>1</v>
      </c>
      <c r="H170" s="2" t="b">
        <v>0</v>
      </c>
      <c r="I170" s="2" t="b">
        <v>0</v>
      </c>
      <c r="J170">
        <f t="shared" si="15"/>
        <v>1</v>
      </c>
      <c r="K170">
        <f t="shared" si="11"/>
        <v>0</v>
      </c>
      <c r="L170">
        <f t="shared" si="12"/>
        <v>0</v>
      </c>
      <c r="M170">
        <f t="shared" si="13"/>
        <v>0</v>
      </c>
    </row>
    <row r="171" spans="1:13">
      <c r="A171">
        <f t="shared" si="17"/>
        <v>85</v>
      </c>
      <c r="B171" t="s">
        <v>192</v>
      </c>
      <c r="C171" t="s">
        <v>172</v>
      </c>
      <c r="D171" s="1">
        <v>45735</v>
      </c>
      <c r="E171" t="s">
        <v>191</v>
      </c>
      <c r="F171" s="2" t="b">
        <v>1</v>
      </c>
      <c r="G171" s="2" t="b">
        <v>1</v>
      </c>
      <c r="H171" s="2" t="b">
        <v>0</v>
      </c>
      <c r="I171" s="2" t="b">
        <v>0</v>
      </c>
      <c r="J171">
        <f t="shared" si="15"/>
        <v>1</v>
      </c>
      <c r="K171">
        <f t="shared" si="11"/>
        <v>0</v>
      </c>
      <c r="L171">
        <f t="shared" si="12"/>
        <v>0</v>
      </c>
      <c r="M171">
        <f t="shared" si="13"/>
        <v>0</v>
      </c>
    </row>
    <row r="172" spans="1:13">
      <c r="A172">
        <f t="shared" si="17"/>
        <v>86</v>
      </c>
      <c r="B172" t="s">
        <v>192</v>
      </c>
      <c r="C172" t="s">
        <v>173</v>
      </c>
      <c r="D172" s="1">
        <v>45736</v>
      </c>
      <c r="E172" t="s">
        <v>191</v>
      </c>
      <c r="F172" s="2" t="b">
        <v>1</v>
      </c>
      <c r="G172" s="2" t="b">
        <v>1</v>
      </c>
      <c r="H172" s="2" t="b">
        <v>0</v>
      </c>
      <c r="I172" s="2" t="b">
        <v>0</v>
      </c>
      <c r="J172">
        <f t="shared" si="15"/>
        <v>1</v>
      </c>
      <c r="K172">
        <f t="shared" si="11"/>
        <v>0</v>
      </c>
      <c r="L172">
        <f t="shared" si="12"/>
        <v>0</v>
      </c>
      <c r="M172">
        <f t="shared" si="13"/>
        <v>0</v>
      </c>
    </row>
    <row r="173" spans="1:13">
      <c r="A173">
        <f t="shared" si="17"/>
        <v>86</v>
      </c>
      <c r="B173" t="s">
        <v>190</v>
      </c>
      <c r="C173" t="s">
        <v>174</v>
      </c>
      <c r="D173" s="1">
        <v>45736</v>
      </c>
      <c r="E173" t="s">
        <v>191</v>
      </c>
      <c r="F173" s="2" t="b">
        <v>1</v>
      </c>
      <c r="G173" s="2" t="b">
        <v>1</v>
      </c>
      <c r="H173" s="2" t="b">
        <v>0</v>
      </c>
      <c r="I173" s="2" t="b">
        <v>0</v>
      </c>
      <c r="J173">
        <f t="shared" si="15"/>
        <v>1</v>
      </c>
      <c r="K173">
        <f t="shared" si="11"/>
        <v>0</v>
      </c>
      <c r="L173">
        <f t="shared" si="12"/>
        <v>0</v>
      </c>
      <c r="M173">
        <f t="shared" si="13"/>
        <v>0</v>
      </c>
    </row>
    <row r="174" spans="1:13">
      <c r="A174">
        <f t="shared" si="17"/>
        <v>87</v>
      </c>
      <c r="B174" t="s">
        <v>192</v>
      </c>
      <c r="C174" t="s">
        <v>175</v>
      </c>
      <c r="D174" s="1">
        <v>45736</v>
      </c>
      <c r="E174" t="s">
        <v>193</v>
      </c>
      <c r="F174" s="2" t="b">
        <v>1</v>
      </c>
      <c r="G174" s="2" t="b">
        <v>1</v>
      </c>
      <c r="H174" s="2" t="b">
        <v>0</v>
      </c>
      <c r="I174" s="2" t="b">
        <v>0</v>
      </c>
      <c r="J174">
        <f t="shared" si="15"/>
        <v>0</v>
      </c>
      <c r="K174">
        <f t="shared" si="11"/>
        <v>1</v>
      </c>
      <c r="L174">
        <f t="shared" si="12"/>
        <v>0</v>
      </c>
      <c r="M174">
        <f t="shared" si="13"/>
        <v>0</v>
      </c>
    </row>
    <row r="175" spans="1:13">
      <c r="A175">
        <f t="shared" si="17"/>
        <v>87</v>
      </c>
      <c r="D175" s="1"/>
      <c r="E175" t="s">
        <v>193</v>
      </c>
      <c r="F175" s="2" t="b">
        <v>0</v>
      </c>
      <c r="G175" s="2" t="b">
        <v>0</v>
      </c>
      <c r="H175" s="2" t="b">
        <v>1</v>
      </c>
      <c r="I175" s="2" t="b">
        <v>0</v>
      </c>
      <c r="J175">
        <f t="shared" si="15"/>
        <v>0</v>
      </c>
      <c r="K175">
        <f t="shared" si="11"/>
        <v>0</v>
      </c>
      <c r="L175">
        <f t="shared" si="12"/>
        <v>0</v>
      </c>
      <c r="M175">
        <f t="shared" si="13"/>
        <v>0</v>
      </c>
    </row>
    <row r="176" spans="1:13">
      <c r="A176">
        <f t="shared" si="17"/>
        <v>88</v>
      </c>
      <c r="B176" t="s">
        <v>190</v>
      </c>
      <c r="C176" t="s">
        <v>176</v>
      </c>
      <c r="D176" s="1">
        <v>45736</v>
      </c>
      <c r="E176" t="s">
        <v>194</v>
      </c>
      <c r="F176" s="2" t="b">
        <v>1</v>
      </c>
      <c r="G176" s="2" t="b">
        <v>1</v>
      </c>
      <c r="H176" s="2" t="b">
        <v>0</v>
      </c>
      <c r="I176" s="2" t="b">
        <v>0</v>
      </c>
      <c r="J176">
        <f t="shared" si="15"/>
        <v>0</v>
      </c>
      <c r="K176">
        <f t="shared" si="11"/>
        <v>0</v>
      </c>
      <c r="L176">
        <f t="shared" si="12"/>
        <v>1</v>
      </c>
      <c r="M176">
        <f t="shared" si="13"/>
        <v>0</v>
      </c>
    </row>
    <row r="177" spans="1:13">
      <c r="A177">
        <f t="shared" si="17"/>
        <v>88</v>
      </c>
      <c r="E177" t="s">
        <v>194</v>
      </c>
      <c r="F177" s="2" t="b">
        <v>0</v>
      </c>
      <c r="G177" s="2" t="b">
        <v>0</v>
      </c>
      <c r="H177" s="2" t="b">
        <v>0</v>
      </c>
      <c r="I177" s="2" t="b">
        <v>0</v>
      </c>
      <c r="J177">
        <f t="shared" si="15"/>
        <v>0</v>
      </c>
      <c r="K177">
        <f t="shared" si="11"/>
        <v>0</v>
      </c>
      <c r="L177">
        <f t="shared" si="12"/>
        <v>0</v>
      </c>
      <c r="M177">
        <f t="shared" si="1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Stanley H West</dc:creator>
  <cp:keywords/>
  <dc:description/>
  <cp:lastModifiedBy/>
  <cp:revision/>
  <dcterms:created xsi:type="dcterms:W3CDTF">2015-06-05T18:17:20Z</dcterms:created>
  <dcterms:modified xsi:type="dcterms:W3CDTF">2025-11-06T20:29:18Z</dcterms:modified>
  <cp:category/>
  <cp:contentStatus/>
</cp:coreProperties>
</file>